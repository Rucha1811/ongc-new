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AWP\AWP 2026-27\03_Post_Physical_RE2026-27_BE2027-28\"/>
    </mc:Choice>
  </mc:AlternateContent>
  <xr:revisionPtr revIDLastSave="0" documentId="13_ncr:1_{4B543453-4F1F-478F-A510-460796AFAEF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E 2026-27" sheetId="5" r:id="rId1"/>
    <sheet name="RE 2026-27" sheetId="6" r:id="rId2"/>
    <sheet name="BE 2027-28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6" l="1"/>
  <c r="D15" i="6"/>
  <c r="E15" i="6"/>
  <c r="F15" i="6"/>
  <c r="G15" i="6"/>
  <c r="H15" i="6"/>
  <c r="I15" i="6"/>
  <c r="J15" i="6"/>
  <c r="K15" i="6"/>
  <c r="L15" i="6"/>
  <c r="M15" i="6"/>
  <c r="N15" i="6"/>
  <c r="O15" i="6"/>
  <c r="C15" i="6"/>
  <c r="D5" i="6"/>
  <c r="E5" i="6"/>
  <c r="F5" i="6"/>
  <c r="G5" i="6"/>
  <c r="H5" i="6"/>
  <c r="I5" i="6"/>
  <c r="J5" i="6"/>
  <c r="K5" i="6"/>
  <c r="L5" i="6"/>
  <c r="M5" i="6"/>
  <c r="N5" i="6"/>
  <c r="O5" i="6"/>
  <c r="C5" i="6"/>
  <c r="E18" i="7"/>
  <c r="F18" i="7"/>
  <c r="G18" i="7"/>
  <c r="H18" i="7"/>
  <c r="I18" i="7"/>
  <c r="J18" i="7"/>
  <c r="K18" i="7"/>
  <c r="L18" i="7"/>
  <c r="M18" i="7"/>
  <c r="N18" i="7"/>
  <c r="O18" i="7"/>
  <c r="D18" i="7"/>
  <c r="P16" i="7"/>
  <c r="P17" i="7"/>
  <c r="C18" i="7" l="1"/>
  <c r="P15" i="7" l="1"/>
  <c r="P14" i="7"/>
  <c r="P13" i="7"/>
  <c r="P12" i="7"/>
  <c r="P11" i="7"/>
  <c r="P10" i="7"/>
  <c r="P9" i="7"/>
  <c r="P8" i="7"/>
  <c r="P18" i="7" s="1"/>
  <c r="O5" i="7"/>
  <c r="N5" i="7"/>
  <c r="M5" i="7"/>
  <c r="L5" i="7"/>
  <c r="K5" i="7"/>
  <c r="J5" i="7"/>
  <c r="I5" i="7"/>
  <c r="H5" i="7"/>
  <c r="G5" i="7"/>
  <c r="F5" i="7"/>
  <c r="E5" i="7"/>
  <c r="D5" i="7"/>
  <c r="C5" i="7"/>
  <c r="P4" i="7"/>
  <c r="P3" i="7"/>
  <c r="P5" i="7" l="1"/>
  <c r="D17" i="5"/>
  <c r="E17" i="5"/>
  <c r="F17" i="5"/>
  <c r="G17" i="5"/>
  <c r="H17" i="5"/>
  <c r="I17" i="5"/>
  <c r="J17" i="5"/>
  <c r="K17" i="5"/>
  <c r="L17" i="5"/>
  <c r="M17" i="5"/>
  <c r="N17" i="5"/>
  <c r="O17" i="5"/>
  <c r="D5" i="5"/>
  <c r="E5" i="5"/>
  <c r="F5" i="5"/>
  <c r="G5" i="5"/>
  <c r="H5" i="5"/>
  <c r="I5" i="5"/>
  <c r="J5" i="5"/>
  <c r="K5" i="5"/>
  <c r="L5" i="5"/>
  <c r="M5" i="5"/>
  <c r="N5" i="5"/>
  <c r="O5" i="5"/>
  <c r="C5" i="5"/>
  <c r="P14" i="6"/>
  <c r="P13" i="6"/>
  <c r="P12" i="6"/>
  <c r="P10" i="6"/>
  <c r="P9" i="6"/>
  <c r="P8" i="6"/>
  <c r="P3" i="6"/>
  <c r="P4" i="6"/>
  <c r="P13" i="5"/>
  <c r="C11" i="5"/>
  <c r="C17" i="5" s="1"/>
  <c r="P16" i="5"/>
  <c r="P15" i="5"/>
  <c r="P9" i="5"/>
  <c r="P8" i="5"/>
  <c r="P14" i="5"/>
  <c r="P11" i="5"/>
  <c r="P10" i="5"/>
  <c r="P12" i="5"/>
  <c r="P3" i="5"/>
  <c r="P4" i="5"/>
  <c r="P17" i="5" l="1"/>
  <c r="P5" i="6"/>
  <c r="P15" i="6"/>
  <c r="P5" i="5"/>
</calcChain>
</file>

<file path=xl/sharedStrings.xml><?xml version="1.0" encoding="utf-8"?>
<sst xmlns="http://schemas.openxmlformats.org/spreadsheetml/2006/main" count="59" uniqueCount="23">
  <si>
    <t>Area</t>
  </si>
  <si>
    <t>Total</t>
  </si>
  <si>
    <t>Sobhasan-Nandasan-Mewad-Wadu-East Linch</t>
  </si>
  <si>
    <t>Long Offset Regional Lines</t>
  </si>
  <si>
    <t>Sl</t>
  </si>
  <si>
    <t>Halisa</t>
  </si>
  <si>
    <t>Central Gandhar &amp; Karjan</t>
  </si>
  <si>
    <t>Aliabet-TZ</t>
  </si>
  <si>
    <t xml:space="preserve">Limbodara-Mansa </t>
  </si>
  <si>
    <t>CB-ONHP-2022/2</t>
  </si>
  <si>
    <t>BE 2026-27</t>
  </si>
  <si>
    <t>Gamij</t>
  </si>
  <si>
    <t>Viraj-Jhalora-Vamaj-Sanand</t>
  </si>
  <si>
    <t>Anklav-katana-Siswa</t>
  </si>
  <si>
    <r>
      <rPr>
        <b/>
        <sz val="18"/>
        <color theme="1"/>
        <rFont val="Arial"/>
        <family val="2"/>
      </rPr>
      <t>Geophysical Services, WON Basin, Vadodara</t>
    </r>
    <r>
      <rPr>
        <sz val="18"/>
        <color theme="1"/>
        <rFont val="Arial"/>
        <family val="2"/>
      </rPr>
      <t xml:space="preserve">
</t>
    </r>
    <r>
      <rPr>
        <u/>
        <sz val="18"/>
        <color theme="1"/>
        <rFont val="Arial"/>
        <family val="2"/>
      </rPr>
      <t>Month wise Targets : BE 2026-27 (Approved for AWP)</t>
    </r>
  </si>
  <si>
    <t>RE 2026-27</t>
  </si>
  <si>
    <t>Limbodara-Mansa</t>
  </si>
  <si>
    <t>Sobhasan-Nandasan-Mewad-Wadu-
East Linch</t>
  </si>
  <si>
    <t>Aliabet Transition Zone</t>
  </si>
  <si>
    <t>South Kharatar</t>
  </si>
  <si>
    <t>BE 2027-28</t>
  </si>
  <si>
    <r>
      <rPr>
        <b/>
        <sz val="14"/>
        <rFont val="Arial"/>
        <family val="2"/>
      </rPr>
      <t>Geophysical Services, WON Basin, Vadodara</t>
    </r>
    <r>
      <rPr>
        <sz val="14"/>
        <rFont val="Arial"/>
        <family val="2"/>
      </rPr>
      <t xml:space="preserve">
</t>
    </r>
    <r>
      <rPr>
        <u/>
        <sz val="14"/>
        <rFont val="Arial"/>
        <family val="2"/>
      </rPr>
      <t>Month wise Targets : RE 2026-27 (Approved for AWP)</t>
    </r>
  </si>
  <si>
    <r>
      <rPr>
        <b/>
        <sz val="12"/>
        <rFont val="Arial"/>
        <family val="2"/>
      </rPr>
      <t>Geophysical Services, WON Basin, Vadodara</t>
    </r>
    <r>
      <rPr>
        <sz val="12"/>
        <rFont val="Arial"/>
        <family val="2"/>
      </rPr>
      <t xml:space="preserve">
</t>
    </r>
    <r>
      <rPr>
        <u/>
        <sz val="12"/>
        <rFont val="Arial"/>
        <family val="2"/>
      </rPr>
      <t>Month wise Targets : BE 2027-28 (Approved for AWP)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</si>
</sst>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u/>
      <sz val="18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17" fontId="1" fillId="2" borderId="9" xfId="0" applyNumberFormat="1" applyFont="1" applyFill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" fillId="2" borderId="5" xfId="0" applyFont="1" applyFill="1" applyBorder="1"/>
    <xf numFmtId="0" fontId="6" fillId="2" borderId="6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1" fillId="2" borderId="11" xfId="0" applyFont="1" applyFill="1" applyBorder="1"/>
    <xf numFmtId="0" fontId="1" fillId="2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" fontId="5" fillId="2" borderId="14" xfId="1" applyNumberFormat="1" applyFont="1" applyFill="1" applyBorder="1" applyAlignment="1">
      <alignment horizontal="center" vertical="center" wrapText="1"/>
    </xf>
    <xf numFmtId="0" fontId="9" fillId="2" borderId="11" xfId="0" applyFont="1" applyFill="1" applyBorder="1"/>
    <xf numFmtId="0" fontId="1" fillId="2" borderId="2" xfId="1" applyFont="1" applyFill="1" applyBorder="1" applyAlignment="1">
      <alignment horizontal="left" vertical="center" wrapText="1" inden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17" fontId="6" fillId="2" borderId="3" xfId="0" applyNumberFormat="1" applyFont="1" applyFill="1" applyBorder="1" applyAlignment="1">
      <alignment horizontal="center" vertical="center"/>
    </xf>
    <xf numFmtId="17" fontId="6" fillId="2" borderId="4" xfId="0" applyNumberFormat="1" applyFont="1" applyFill="1" applyBorder="1" applyAlignment="1">
      <alignment horizontal="center" vertical="center"/>
    </xf>
    <xf numFmtId="17" fontId="6" fillId="2" borderId="9" xfId="0" applyNumberFormat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 wrapText="1" indent="1"/>
    </xf>
    <xf numFmtId="1" fontId="10" fillId="2" borderId="14" xfId="1" applyNumberFormat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left" vertical="center" wrapText="1" indent="1"/>
    </xf>
    <xf numFmtId="0" fontId="6" fillId="0" borderId="1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2" borderId="5" xfId="0" applyFont="1" applyFill="1" applyBorder="1"/>
    <xf numFmtId="0" fontId="6" fillId="2" borderId="11" xfId="0" applyFont="1" applyFill="1" applyBorder="1"/>
    <xf numFmtId="0" fontId="6" fillId="0" borderId="0" xfId="0" applyFont="1" applyAlignment="1">
      <alignment horizontal="left" vertical="center"/>
    </xf>
    <xf numFmtId="0" fontId="13" fillId="2" borderId="3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17" fontId="12" fillId="2" borderId="3" xfId="0" applyNumberFormat="1" applyFont="1" applyFill="1" applyBorder="1" applyAlignment="1">
      <alignment horizontal="center" vertical="center"/>
    </xf>
    <xf numFmtId="17" fontId="12" fillId="2" borderId="4" xfId="0" applyNumberFormat="1" applyFont="1" applyFill="1" applyBorder="1" applyAlignment="1">
      <alignment horizontal="center" vertical="center"/>
    </xf>
    <xf numFmtId="17" fontId="12" fillId="2" borderId="9" xfId="0" applyNumberFormat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left" vertical="center" wrapText="1" indent="1"/>
    </xf>
    <xf numFmtId="0" fontId="12" fillId="0" borderId="13" xfId="0" applyFont="1" applyBorder="1" applyAlignment="1">
      <alignment horizontal="center" vertical="center"/>
    </xf>
    <xf numFmtId="1" fontId="13" fillId="2" borderId="14" xfId="1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/>
    </xf>
    <xf numFmtId="0" fontId="12" fillId="2" borderId="11" xfId="0" applyFont="1" applyFill="1" applyBorder="1"/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2" borderId="5" xfId="0" applyFont="1" applyFill="1" applyBorder="1"/>
    <xf numFmtId="0" fontId="12" fillId="0" borderId="0" xfId="0" applyFont="1" applyAlignment="1">
      <alignment horizontal="left" vertical="center"/>
    </xf>
    <xf numFmtId="1" fontId="13" fillId="2" borderId="1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"/>
  <sheetViews>
    <sheetView view="pageBreakPreview" zoomScale="115" zoomScaleNormal="100" zoomScaleSheetLayoutView="115" workbookViewId="0">
      <selection activeCell="J17" sqref="J17:O17"/>
    </sheetView>
  </sheetViews>
  <sheetFormatPr defaultRowHeight="15.75" x14ac:dyDescent="0.25"/>
  <cols>
    <col min="1" max="1" width="11.42578125" style="8" customWidth="1"/>
    <col min="2" max="2" width="39.28515625" style="7" customWidth="1"/>
    <col min="3" max="3" width="15.42578125" style="8" customWidth="1"/>
    <col min="4" max="16" width="9.140625" style="11"/>
  </cols>
  <sheetData>
    <row r="1" spans="1:16" s="2" customFormat="1" ht="24" thickBot="1" x14ac:dyDescent="0.3">
      <c r="A1" s="4"/>
      <c r="B1" s="73" t="s">
        <v>14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s="12" customFormat="1" x14ac:dyDescent="0.2">
      <c r="A2" s="18" t="s">
        <v>4</v>
      </c>
      <c r="B2" s="24" t="s">
        <v>0</v>
      </c>
      <c r="C2" s="26" t="s">
        <v>10</v>
      </c>
      <c r="D2" s="5">
        <v>46113</v>
      </c>
      <c r="E2" s="6">
        <v>46143</v>
      </c>
      <c r="F2" s="5">
        <v>46174</v>
      </c>
      <c r="G2" s="6">
        <v>46204</v>
      </c>
      <c r="H2" s="5">
        <v>46235</v>
      </c>
      <c r="I2" s="6">
        <v>46266</v>
      </c>
      <c r="J2" s="5">
        <v>46296</v>
      </c>
      <c r="K2" s="6">
        <v>46327</v>
      </c>
      <c r="L2" s="5">
        <v>46357</v>
      </c>
      <c r="M2" s="6">
        <v>46388</v>
      </c>
      <c r="N2" s="5">
        <v>46419</v>
      </c>
      <c r="O2" s="6">
        <v>46447</v>
      </c>
      <c r="P2" s="19" t="s">
        <v>1</v>
      </c>
    </row>
    <row r="3" spans="1:16" s="12" customFormat="1" ht="15" x14ac:dyDescent="0.2">
      <c r="A3" s="20">
        <v>1</v>
      </c>
      <c r="B3" s="31" t="s">
        <v>9</v>
      </c>
      <c r="C3" s="28">
        <v>50</v>
      </c>
      <c r="D3" s="16"/>
      <c r="E3" s="14"/>
      <c r="F3" s="17">
        <v>50</v>
      </c>
      <c r="G3" s="16"/>
      <c r="H3" s="14"/>
      <c r="I3" s="17"/>
      <c r="J3" s="16"/>
      <c r="K3" s="14"/>
      <c r="L3" s="17"/>
      <c r="M3" s="16"/>
      <c r="N3" s="14"/>
      <c r="O3" s="17"/>
      <c r="P3" s="21">
        <f>SUM(D3:O3)</f>
        <v>50</v>
      </c>
    </row>
    <row r="4" spans="1:16" s="12" customFormat="1" ht="15" x14ac:dyDescent="0.2">
      <c r="A4" s="20">
        <v>2</v>
      </c>
      <c r="B4" s="31" t="s">
        <v>3</v>
      </c>
      <c r="C4" s="27">
        <v>1000</v>
      </c>
      <c r="D4" s="16">
        <v>200</v>
      </c>
      <c r="E4" s="14">
        <v>200</v>
      </c>
      <c r="F4" s="17">
        <v>100</v>
      </c>
      <c r="G4" s="16"/>
      <c r="H4" s="14"/>
      <c r="I4" s="17"/>
      <c r="J4" s="16"/>
      <c r="K4" s="14">
        <v>100</v>
      </c>
      <c r="L4" s="17">
        <v>100</v>
      </c>
      <c r="M4" s="16">
        <v>100</v>
      </c>
      <c r="N4" s="14">
        <v>100</v>
      </c>
      <c r="O4" s="17">
        <v>100</v>
      </c>
      <c r="P4" s="21">
        <f>SUM(D4:O4)</f>
        <v>1000</v>
      </c>
    </row>
    <row r="5" spans="1:16" s="1" customFormat="1" ht="16.5" thickBot="1" x14ac:dyDescent="0.25">
      <c r="A5" s="22"/>
      <c r="B5" s="25"/>
      <c r="C5" s="29">
        <f>SUM(C3:C4)</f>
        <v>1050</v>
      </c>
      <c r="D5" s="29">
        <f t="shared" ref="D5:P5" si="0">SUM(D3:D4)</f>
        <v>200</v>
      </c>
      <c r="E5" s="29">
        <f t="shared" si="0"/>
        <v>200</v>
      </c>
      <c r="F5" s="29">
        <f t="shared" si="0"/>
        <v>150</v>
      </c>
      <c r="G5" s="29">
        <f t="shared" si="0"/>
        <v>0</v>
      </c>
      <c r="H5" s="29">
        <f t="shared" si="0"/>
        <v>0</v>
      </c>
      <c r="I5" s="29">
        <f t="shared" si="0"/>
        <v>0</v>
      </c>
      <c r="J5" s="29">
        <f t="shared" si="0"/>
        <v>0</v>
      </c>
      <c r="K5" s="29">
        <f t="shared" si="0"/>
        <v>100</v>
      </c>
      <c r="L5" s="29">
        <f t="shared" si="0"/>
        <v>100</v>
      </c>
      <c r="M5" s="29">
        <f t="shared" si="0"/>
        <v>100</v>
      </c>
      <c r="N5" s="29">
        <f t="shared" si="0"/>
        <v>100</v>
      </c>
      <c r="O5" s="29">
        <f t="shared" si="0"/>
        <v>100</v>
      </c>
      <c r="P5" s="29">
        <f t="shared" si="0"/>
        <v>1050</v>
      </c>
    </row>
    <row r="6" spans="1:16" s="12" customFormat="1" thickBot="1" x14ac:dyDescent="0.25">
      <c r="A6" s="3"/>
      <c r="B6" s="13"/>
      <c r="C6" s="3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s="12" customFormat="1" x14ac:dyDescent="0.2">
      <c r="A7" s="18" t="s">
        <v>4</v>
      </c>
      <c r="B7" s="24" t="s">
        <v>0</v>
      </c>
      <c r="C7" s="26" t="s">
        <v>10</v>
      </c>
      <c r="D7" s="5">
        <v>46113</v>
      </c>
      <c r="E7" s="6">
        <v>46143</v>
      </c>
      <c r="F7" s="5">
        <v>46174</v>
      </c>
      <c r="G7" s="6">
        <v>46204</v>
      </c>
      <c r="H7" s="5">
        <v>46235</v>
      </c>
      <c r="I7" s="6">
        <v>46266</v>
      </c>
      <c r="J7" s="5">
        <v>46296</v>
      </c>
      <c r="K7" s="6">
        <v>46327</v>
      </c>
      <c r="L7" s="5">
        <v>46357</v>
      </c>
      <c r="M7" s="6">
        <v>46388</v>
      </c>
      <c r="N7" s="5">
        <v>46419</v>
      </c>
      <c r="O7" s="6">
        <v>46447</v>
      </c>
      <c r="P7" s="19" t="s">
        <v>1</v>
      </c>
    </row>
    <row r="8" spans="1:16" s="12" customFormat="1" ht="15" x14ac:dyDescent="0.2">
      <c r="A8" s="23">
        <v>1</v>
      </c>
      <c r="B8" s="31" t="s">
        <v>8</v>
      </c>
      <c r="C8" s="27">
        <v>50</v>
      </c>
      <c r="D8" s="16">
        <v>20</v>
      </c>
      <c r="E8" s="14">
        <v>20</v>
      </c>
      <c r="F8" s="17">
        <v>10</v>
      </c>
      <c r="G8" s="16"/>
      <c r="H8" s="14"/>
      <c r="I8" s="17"/>
      <c r="J8" s="16"/>
      <c r="K8" s="14"/>
      <c r="L8" s="17"/>
      <c r="M8" s="16"/>
      <c r="N8" s="14"/>
      <c r="O8" s="17"/>
      <c r="P8" s="21">
        <f>SUM(D8:O8)</f>
        <v>50</v>
      </c>
    </row>
    <row r="9" spans="1:16" s="12" customFormat="1" ht="30" x14ac:dyDescent="0.2">
      <c r="A9" s="23">
        <v>2</v>
      </c>
      <c r="B9" s="31" t="s">
        <v>2</v>
      </c>
      <c r="C9" s="27">
        <v>50</v>
      </c>
      <c r="D9" s="16">
        <v>20</v>
      </c>
      <c r="E9" s="14">
        <v>20</v>
      </c>
      <c r="F9" s="17">
        <v>10</v>
      </c>
      <c r="G9" s="16"/>
      <c r="H9" s="14"/>
      <c r="I9" s="17"/>
      <c r="J9" s="16"/>
      <c r="K9" s="14"/>
      <c r="L9" s="17"/>
      <c r="M9" s="16"/>
      <c r="N9" s="14"/>
      <c r="O9" s="17"/>
      <c r="P9" s="21">
        <f>SUM(D9:O9)</f>
        <v>50</v>
      </c>
    </row>
    <row r="10" spans="1:16" s="12" customFormat="1" ht="15" x14ac:dyDescent="0.2">
      <c r="A10" s="23">
        <v>3</v>
      </c>
      <c r="B10" s="31" t="s">
        <v>6</v>
      </c>
      <c r="C10" s="28">
        <v>88</v>
      </c>
      <c r="D10" s="16">
        <v>20</v>
      </c>
      <c r="E10" s="14">
        <v>20</v>
      </c>
      <c r="F10" s="17">
        <v>10</v>
      </c>
      <c r="G10" s="16"/>
      <c r="H10" s="14"/>
      <c r="I10" s="17"/>
      <c r="J10" s="16">
        <v>10</v>
      </c>
      <c r="K10" s="14">
        <v>15</v>
      </c>
      <c r="L10" s="17">
        <v>13</v>
      </c>
      <c r="M10" s="16"/>
      <c r="N10" s="14"/>
      <c r="O10" s="17"/>
      <c r="P10" s="21">
        <f>SUM(D10:O10)</f>
        <v>88</v>
      </c>
    </row>
    <row r="11" spans="1:16" s="12" customFormat="1" ht="15" x14ac:dyDescent="0.2">
      <c r="A11" s="23">
        <v>4</v>
      </c>
      <c r="B11" s="31" t="s">
        <v>5</v>
      </c>
      <c r="C11" s="28">
        <f>75+130</f>
        <v>205</v>
      </c>
      <c r="D11" s="16">
        <v>25</v>
      </c>
      <c r="E11" s="14">
        <v>25</v>
      </c>
      <c r="F11" s="17">
        <v>25</v>
      </c>
      <c r="G11" s="16"/>
      <c r="H11" s="14"/>
      <c r="I11" s="17"/>
      <c r="J11" s="16">
        <v>10</v>
      </c>
      <c r="K11" s="14">
        <v>20</v>
      </c>
      <c r="L11" s="17">
        <v>25</v>
      </c>
      <c r="M11" s="16">
        <v>25</v>
      </c>
      <c r="N11" s="14">
        <v>25</v>
      </c>
      <c r="O11" s="17">
        <v>25</v>
      </c>
      <c r="P11" s="21">
        <f>SUM(D11:O11)</f>
        <v>205</v>
      </c>
    </row>
    <row r="12" spans="1:16" s="12" customFormat="1" ht="15" x14ac:dyDescent="0.2">
      <c r="A12" s="23">
        <v>5</v>
      </c>
      <c r="B12" s="31" t="s">
        <v>11</v>
      </c>
      <c r="C12" s="28">
        <v>120</v>
      </c>
      <c r="D12" s="16"/>
      <c r="E12" s="14"/>
      <c r="F12" s="17"/>
      <c r="G12" s="16"/>
      <c r="H12" s="14"/>
      <c r="I12" s="17"/>
      <c r="J12" s="16">
        <v>20</v>
      </c>
      <c r="K12" s="14">
        <v>20</v>
      </c>
      <c r="L12" s="17">
        <v>20</v>
      </c>
      <c r="M12" s="16">
        <v>20</v>
      </c>
      <c r="N12" s="14">
        <v>20</v>
      </c>
      <c r="O12" s="17">
        <v>20</v>
      </c>
      <c r="P12" s="21">
        <f t="shared" ref="P12" si="1">SUM(D12:O12)</f>
        <v>120</v>
      </c>
    </row>
    <row r="13" spans="1:16" s="12" customFormat="1" ht="15" x14ac:dyDescent="0.2">
      <c r="A13" s="23">
        <v>6</v>
      </c>
      <c r="B13" s="31" t="s">
        <v>12</v>
      </c>
      <c r="C13" s="27">
        <v>120</v>
      </c>
      <c r="D13" s="16"/>
      <c r="E13" s="14"/>
      <c r="F13" s="17"/>
      <c r="G13" s="16"/>
      <c r="H13" s="14"/>
      <c r="I13" s="17"/>
      <c r="J13" s="16">
        <v>20</v>
      </c>
      <c r="K13" s="14">
        <v>20</v>
      </c>
      <c r="L13" s="17">
        <v>20</v>
      </c>
      <c r="M13" s="16">
        <v>20</v>
      </c>
      <c r="N13" s="14">
        <v>20</v>
      </c>
      <c r="O13" s="17">
        <v>20</v>
      </c>
      <c r="P13" s="21">
        <f>SUM(D13:O13)</f>
        <v>120</v>
      </c>
    </row>
    <row r="14" spans="1:16" s="12" customFormat="1" ht="15" x14ac:dyDescent="0.2">
      <c r="A14" s="23">
        <v>7</v>
      </c>
      <c r="B14" s="31" t="s">
        <v>13</v>
      </c>
      <c r="C14" s="27">
        <v>100</v>
      </c>
      <c r="D14" s="16"/>
      <c r="E14" s="14"/>
      <c r="F14" s="17"/>
      <c r="G14" s="16"/>
      <c r="H14" s="14"/>
      <c r="I14" s="17"/>
      <c r="J14" s="16"/>
      <c r="K14" s="14">
        <v>20</v>
      </c>
      <c r="L14" s="17">
        <v>20</v>
      </c>
      <c r="M14" s="16">
        <v>20</v>
      </c>
      <c r="N14" s="14">
        <v>20</v>
      </c>
      <c r="O14" s="17">
        <v>20</v>
      </c>
      <c r="P14" s="21">
        <f>SUM(D14:O14)</f>
        <v>100</v>
      </c>
    </row>
    <row r="15" spans="1:16" s="12" customFormat="1" ht="15" x14ac:dyDescent="0.2">
      <c r="A15" s="23">
        <v>8</v>
      </c>
      <c r="B15" s="31" t="s">
        <v>7</v>
      </c>
      <c r="C15" s="27">
        <v>99</v>
      </c>
      <c r="D15" s="16">
        <v>40</v>
      </c>
      <c r="E15" s="14">
        <v>40</v>
      </c>
      <c r="F15" s="17">
        <v>19</v>
      </c>
      <c r="G15" s="16"/>
      <c r="H15" s="14"/>
      <c r="I15" s="17"/>
      <c r="J15" s="16"/>
      <c r="K15" s="14"/>
      <c r="L15" s="17"/>
      <c r="M15" s="16"/>
      <c r="N15" s="14"/>
      <c r="O15" s="17"/>
      <c r="P15" s="21">
        <f t="shared" ref="P15:P16" si="2">SUM(D15:O15)</f>
        <v>99</v>
      </c>
    </row>
    <row r="16" spans="1:16" s="12" customFormat="1" ht="15" x14ac:dyDescent="0.2">
      <c r="A16" s="23">
        <v>9</v>
      </c>
      <c r="B16" s="31" t="s">
        <v>9</v>
      </c>
      <c r="C16" s="27">
        <v>202</v>
      </c>
      <c r="D16" s="16">
        <v>35</v>
      </c>
      <c r="E16" s="14">
        <v>35</v>
      </c>
      <c r="F16" s="17">
        <v>30</v>
      </c>
      <c r="G16" s="16"/>
      <c r="H16" s="14"/>
      <c r="I16" s="17"/>
      <c r="J16" s="16">
        <v>25</v>
      </c>
      <c r="K16" s="14">
        <v>26</v>
      </c>
      <c r="L16" s="17">
        <v>26</v>
      </c>
      <c r="M16" s="16">
        <v>25</v>
      </c>
      <c r="N16" s="14"/>
      <c r="O16" s="17"/>
      <c r="P16" s="21">
        <f t="shared" si="2"/>
        <v>202</v>
      </c>
    </row>
    <row r="17" spans="1:16" s="12" customFormat="1" ht="16.5" thickBot="1" x14ac:dyDescent="0.25">
      <c r="A17" s="23"/>
      <c r="B17" s="30"/>
      <c r="C17" s="29">
        <f>SUM(C8:C16)</f>
        <v>1034</v>
      </c>
      <c r="D17" s="29">
        <f t="shared" ref="D17:P17" si="3">SUM(D8:D16)</f>
        <v>160</v>
      </c>
      <c r="E17" s="29">
        <f t="shared" si="3"/>
        <v>160</v>
      </c>
      <c r="F17" s="29">
        <f t="shared" si="3"/>
        <v>104</v>
      </c>
      <c r="G17" s="29">
        <f t="shared" si="3"/>
        <v>0</v>
      </c>
      <c r="H17" s="29">
        <f t="shared" si="3"/>
        <v>0</v>
      </c>
      <c r="I17" s="29">
        <f t="shared" si="3"/>
        <v>0</v>
      </c>
      <c r="J17" s="29">
        <f t="shared" si="3"/>
        <v>85</v>
      </c>
      <c r="K17" s="29">
        <f t="shared" si="3"/>
        <v>121</v>
      </c>
      <c r="L17" s="29">
        <f t="shared" si="3"/>
        <v>124</v>
      </c>
      <c r="M17" s="29">
        <f t="shared" si="3"/>
        <v>110</v>
      </c>
      <c r="N17" s="29">
        <f t="shared" si="3"/>
        <v>85</v>
      </c>
      <c r="O17" s="29">
        <f t="shared" si="3"/>
        <v>85</v>
      </c>
      <c r="P17" s="29">
        <f t="shared" si="3"/>
        <v>1034</v>
      </c>
    </row>
    <row r="18" spans="1:16" x14ac:dyDescent="0.25">
      <c r="A18" s="9"/>
      <c r="B18" s="8"/>
      <c r="C18" s="10"/>
    </row>
    <row r="19" spans="1:16" x14ac:dyDescent="0.25">
      <c r="A19" s="9"/>
      <c r="B19" s="9"/>
    </row>
    <row r="20" spans="1:16" x14ac:dyDescent="0.25">
      <c r="A20" s="9"/>
      <c r="B20" s="9"/>
    </row>
    <row r="21" spans="1:16" x14ac:dyDescent="0.25">
      <c r="B21" s="9"/>
    </row>
    <row r="22" spans="1:16" x14ac:dyDescent="0.25">
      <c r="B22" s="9"/>
    </row>
    <row r="23" spans="1:16" x14ac:dyDescent="0.25">
      <c r="B23" s="8"/>
    </row>
    <row r="24" spans="1:16" x14ac:dyDescent="0.25">
      <c r="B24" s="8"/>
    </row>
    <row r="25" spans="1:16" x14ac:dyDescent="0.25">
      <c r="B25" s="8"/>
    </row>
    <row r="26" spans="1:16" x14ac:dyDescent="0.25">
      <c r="B26" s="8"/>
    </row>
    <row r="27" spans="1:16" x14ac:dyDescent="0.25">
      <c r="B27" s="8"/>
    </row>
    <row r="28" spans="1:16" x14ac:dyDescent="0.25">
      <c r="B28" s="8"/>
    </row>
  </sheetData>
  <mergeCells count="1">
    <mergeCell ref="B1:P1"/>
  </mergeCells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5"/>
  <sheetViews>
    <sheetView view="pageBreakPreview" zoomScale="60" zoomScaleNormal="85" workbookViewId="0">
      <selection activeCell="AB24" sqref="AB24"/>
    </sheetView>
  </sheetViews>
  <sheetFormatPr defaultRowHeight="18" x14ac:dyDescent="0.25"/>
  <cols>
    <col min="1" max="1" width="11.42578125" style="64" customWidth="1"/>
    <col min="2" max="2" width="39.28515625" style="64" customWidth="1"/>
    <col min="3" max="3" width="15.42578125" style="64" customWidth="1"/>
    <col min="4" max="4" width="9.5703125" style="64" bestFit="1" customWidth="1"/>
    <col min="5" max="5" width="10.28515625" style="64" bestFit="1" customWidth="1"/>
    <col min="6" max="6" width="9.5703125" style="64" bestFit="1" customWidth="1"/>
    <col min="7" max="7" width="9.28515625" style="64" bestFit="1" customWidth="1"/>
    <col min="8" max="8" width="10.140625" style="64" bestFit="1" customWidth="1"/>
    <col min="9" max="9" width="10.28515625" style="64" bestFit="1" customWidth="1"/>
    <col min="10" max="10" width="9.5703125" style="64" bestFit="1" customWidth="1"/>
    <col min="11" max="11" width="10" style="64" bestFit="1" customWidth="1"/>
    <col min="12" max="12" width="10.28515625" style="64" bestFit="1" customWidth="1"/>
    <col min="13" max="13" width="9.5703125" style="64" bestFit="1" customWidth="1"/>
    <col min="14" max="14" width="10.140625" style="64" bestFit="1" customWidth="1"/>
    <col min="15" max="15" width="9.85546875" style="64" bestFit="1" customWidth="1"/>
    <col min="16" max="16" width="9.28515625" style="64" bestFit="1" customWidth="1"/>
    <col min="17" max="16384" width="9.140625" style="64"/>
  </cols>
  <sheetData>
    <row r="1" spans="1:16" ht="54" customHeight="1" thickBot="1" x14ac:dyDescent="0.3">
      <c r="A1" s="63"/>
      <c r="B1" s="74" t="s">
        <v>21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 x14ac:dyDescent="0.25">
      <c r="A2" s="51" t="s">
        <v>4</v>
      </c>
      <c r="B2" s="52" t="s">
        <v>0</v>
      </c>
      <c r="C2" s="53" t="s">
        <v>15</v>
      </c>
      <c r="D2" s="54">
        <v>46113</v>
      </c>
      <c r="E2" s="55">
        <v>46143</v>
      </c>
      <c r="F2" s="54">
        <v>46174</v>
      </c>
      <c r="G2" s="55">
        <v>46204</v>
      </c>
      <c r="H2" s="54">
        <v>46235</v>
      </c>
      <c r="I2" s="55">
        <v>46266</v>
      </c>
      <c r="J2" s="54">
        <v>46296</v>
      </c>
      <c r="K2" s="55">
        <v>46327</v>
      </c>
      <c r="L2" s="54">
        <v>46357</v>
      </c>
      <c r="M2" s="55">
        <v>46388</v>
      </c>
      <c r="N2" s="54">
        <v>46419</v>
      </c>
      <c r="O2" s="55">
        <v>46447</v>
      </c>
      <c r="P2" s="56" t="s">
        <v>1</v>
      </c>
    </row>
    <row r="3" spans="1:16" x14ac:dyDescent="0.25">
      <c r="A3" s="57">
        <v>1</v>
      </c>
      <c r="B3" s="58" t="s">
        <v>9</v>
      </c>
      <c r="C3" s="59">
        <v>50</v>
      </c>
      <c r="D3" s="65"/>
      <c r="E3" s="65"/>
      <c r="F3" s="65"/>
      <c r="G3" s="65"/>
      <c r="H3" s="65"/>
      <c r="I3" s="65"/>
      <c r="J3" s="65"/>
      <c r="K3" s="65">
        <v>25</v>
      </c>
      <c r="L3" s="65">
        <v>25</v>
      </c>
      <c r="M3" s="65"/>
      <c r="N3" s="65"/>
      <c r="O3" s="65"/>
      <c r="P3" s="66">
        <f>SUM(D3:O3)</f>
        <v>50</v>
      </c>
    </row>
    <row r="4" spans="1:16" x14ac:dyDescent="0.25">
      <c r="A4" s="57">
        <v>2</v>
      </c>
      <c r="B4" s="58" t="s">
        <v>3</v>
      </c>
      <c r="C4" s="59">
        <v>2300</v>
      </c>
      <c r="D4" s="67">
        <v>250</v>
      </c>
      <c r="E4" s="65">
        <v>250</v>
      </c>
      <c r="F4" s="68">
        <v>200</v>
      </c>
      <c r="G4" s="67"/>
      <c r="H4" s="65"/>
      <c r="I4" s="68"/>
      <c r="J4" s="67">
        <v>150</v>
      </c>
      <c r="K4" s="65">
        <v>250</v>
      </c>
      <c r="L4" s="68">
        <v>300</v>
      </c>
      <c r="M4" s="67">
        <v>300</v>
      </c>
      <c r="N4" s="65">
        <v>300</v>
      </c>
      <c r="O4" s="68">
        <v>300</v>
      </c>
      <c r="P4" s="66">
        <f>SUM(D4:O4)</f>
        <v>2300</v>
      </c>
    </row>
    <row r="5" spans="1:16" ht="18.75" thickBot="1" x14ac:dyDescent="0.3">
      <c r="A5" s="69"/>
      <c r="B5" s="62"/>
      <c r="C5" s="60">
        <f>+SUM(C3+C4)</f>
        <v>2350</v>
      </c>
      <c r="D5" s="60">
        <f t="shared" ref="D5:P5" si="0">+SUM(D3+D4)</f>
        <v>250</v>
      </c>
      <c r="E5" s="60">
        <f t="shared" si="0"/>
        <v>250</v>
      </c>
      <c r="F5" s="60">
        <f t="shared" si="0"/>
        <v>200</v>
      </c>
      <c r="G5" s="60">
        <f t="shared" si="0"/>
        <v>0</v>
      </c>
      <c r="H5" s="60">
        <f t="shared" si="0"/>
        <v>0</v>
      </c>
      <c r="I5" s="60">
        <f t="shared" si="0"/>
        <v>0</v>
      </c>
      <c r="J5" s="60">
        <f t="shared" si="0"/>
        <v>150</v>
      </c>
      <c r="K5" s="60">
        <f t="shared" si="0"/>
        <v>275</v>
      </c>
      <c r="L5" s="60">
        <f t="shared" si="0"/>
        <v>325</v>
      </c>
      <c r="M5" s="60">
        <f t="shared" si="0"/>
        <v>300</v>
      </c>
      <c r="N5" s="60">
        <f t="shared" si="0"/>
        <v>300</v>
      </c>
      <c r="O5" s="60">
        <f t="shared" si="0"/>
        <v>300</v>
      </c>
      <c r="P5" s="60">
        <f t="shared" si="0"/>
        <v>2350</v>
      </c>
    </row>
    <row r="6" spans="1:16" ht="18.75" thickBot="1" x14ac:dyDescent="0.3">
      <c r="A6" s="63"/>
      <c r="B6" s="70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</row>
    <row r="7" spans="1:16" x14ac:dyDescent="0.25">
      <c r="A7" s="51" t="s">
        <v>4</v>
      </c>
      <c r="B7" s="52" t="s">
        <v>0</v>
      </c>
      <c r="C7" s="53" t="s">
        <v>15</v>
      </c>
      <c r="D7" s="54">
        <v>46113</v>
      </c>
      <c r="E7" s="55">
        <v>46143</v>
      </c>
      <c r="F7" s="54">
        <v>46174</v>
      </c>
      <c r="G7" s="55">
        <v>46204</v>
      </c>
      <c r="H7" s="54">
        <v>46235</v>
      </c>
      <c r="I7" s="55">
        <v>46266</v>
      </c>
      <c r="J7" s="54">
        <v>46296</v>
      </c>
      <c r="K7" s="55">
        <v>46327</v>
      </c>
      <c r="L7" s="54">
        <v>46357</v>
      </c>
      <c r="M7" s="55">
        <v>46388</v>
      </c>
      <c r="N7" s="54">
        <v>46419</v>
      </c>
      <c r="O7" s="55">
        <v>46447</v>
      </c>
      <c r="P7" s="56" t="s">
        <v>1</v>
      </c>
    </row>
    <row r="8" spans="1:16" x14ac:dyDescent="0.25">
      <c r="A8" s="57">
        <v>1</v>
      </c>
      <c r="B8" s="58" t="s">
        <v>16</v>
      </c>
      <c r="C8" s="65">
        <v>150</v>
      </c>
      <c r="D8" s="65"/>
      <c r="E8" s="65"/>
      <c r="F8" s="65"/>
      <c r="G8" s="65"/>
      <c r="H8" s="65"/>
      <c r="I8" s="65"/>
      <c r="J8" s="65">
        <v>5</v>
      </c>
      <c r="K8" s="65">
        <v>25</v>
      </c>
      <c r="L8" s="65">
        <v>30</v>
      </c>
      <c r="M8" s="65">
        <v>30</v>
      </c>
      <c r="N8" s="65">
        <v>30</v>
      </c>
      <c r="O8" s="65">
        <v>30</v>
      </c>
      <c r="P8" s="65">
        <f>SUM(D8:O8)</f>
        <v>150</v>
      </c>
    </row>
    <row r="9" spans="1:16" ht="54" x14ac:dyDescent="0.25">
      <c r="A9" s="57">
        <v>2</v>
      </c>
      <c r="B9" s="58" t="s">
        <v>17</v>
      </c>
      <c r="C9" s="65">
        <v>175</v>
      </c>
      <c r="D9" s="65"/>
      <c r="E9" s="65"/>
      <c r="F9" s="65"/>
      <c r="G9" s="65"/>
      <c r="H9" s="65"/>
      <c r="I9" s="65"/>
      <c r="J9" s="65">
        <v>10</v>
      </c>
      <c r="K9" s="65">
        <v>25</v>
      </c>
      <c r="L9" s="65">
        <v>35</v>
      </c>
      <c r="M9" s="65">
        <v>35</v>
      </c>
      <c r="N9" s="65">
        <v>35</v>
      </c>
      <c r="O9" s="65">
        <v>35</v>
      </c>
      <c r="P9" s="65">
        <f>SUM(D9:O9)</f>
        <v>175</v>
      </c>
    </row>
    <row r="10" spans="1:16" x14ac:dyDescent="0.25">
      <c r="A10" s="57">
        <v>3</v>
      </c>
      <c r="B10" s="58" t="s">
        <v>6</v>
      </c>
      <c r="C10" s="65">
        <v>173</v>
      </c>
      <c r="D10" s="65">
        <v>10</v>
      </c>
      <c r="E10" s="65">
        <v>25</v>
      </c>
      <c r="F10" s="65">
        <v>28</v>
      </c>
      <c r="G10" s="65"/>
      <c r="H10" s="65"/>
      <c r="I10" s="65"/>
      <c r="J10" s="65">
        <v>10</v>
      </c>
      <c r="K10" s="65">
        <v>20</v>
      </c>
      <c r="L10" s="65">
        <v>20</v>
      </c>
      <c r="M10" s="65">
        <v>20</v>
      </c>
      <c r="N10" s="65">
        <v>20</v>
      </c>
      <c r="O10" s="65">
        <v>20</v>
      </c>
      <c r="P10" s="65">
        <f t="shared" ref="P10:P12" si="1">SUM(D10:O10)</f>
        <v>173</v>
      </c>
    </row>
    <row r="11" spans="1:16" x14ac:dyDescent="0.25">
      <c r="A11" s="57">
        <v>4</v>
      </c>
      <c r="B11" s="58" t="s">
        <v>5</v>
      </c>
      <c r="C11" s="65">
        <v>260</v>
      </c>
      <c r="D11" s="65">
        <v>15</v>
      </c>
      <c r="E11" s="65">
        <v>35</v>
      </c>
      <c r="F11" s="65">
        <v>35</v>
      </c>
      <c r="G11" s="65"/>
      <c r="H11" s="65"/>
      <c r="I11" s="65"/>
      <c r="J11" s="65">
        <v>15</v>
      </c>
      <c r="K11" s="65">
        <v>20</v>
      </c>
      <c r="L11" s="65">
        <v>35</v>
      </c>
      <c r="M11" s="65">
        <v>35</v>
      </c>
      <c r="N11" s="65">
        <v>35</v>
      </c>
      <c r="O11" s="65">
        <v>35</v>
      </c>
      <c r="P11" s="65">
        <f t="shared" si="1"/>
        <v>260</v>
      </c>
    </row>
    <row r="12" spans="1:16" x14ac:dyDescent="0.25">
      <c r="A12" s="57">
        <v>5</v>
      </c>
      <c r="B12" s="58" t="s">
        <v>13</v>
      </c>
      <c r="C12" s="65">
        <v>120</v>
      </c>
      <c r="D12" s="65"/>
      <c r="E12" s="65"/>
      <c r="F12" s="65"/>
      <c r="G12" s="65"/>
      <c r="H12" s="65"/>
      <c r="I12" s="65"/>
      <c r="J12" s="65">
        <v>5</v>
      </c>
      <c r="K12" s="65">
        <v>15</v>
      </c>
      <c r="L12" s="65">
        <v>25</v>
      </c>
      <c r="M12" s="65">
        <v>25</v>
      </c>
      <c r="N12" s="65">
        <v>25</v>
      </c>
      <c r="O12" s="65">
        <v>25</v>
      </c>
      <c r="P12" s="65">
        <f t="shared" si="1"/>
        <v>120</v>
      </c>
    </row>
    <row r="13" spans="1:16" x14ac:dyDescent="0.25">
      <c r="A13" s="57">
        <v>6</v>
      </c>
      <c r="B13" s="58" t="s">
        <v>18</v>
      </c>
      <c r="C13" s="65">
        <v>150</v>
      </c>
      <c r="D13" s="65"/>
      <c r="E13" s="65"/>
      <c r="F13" s="65"/>
      <c r="G13" s="65"/>
      <c r="H13" s="65"/>
      <c r="I13" s="65"/>
      <c r="J13" s="65">
        <v>10</v>
      </c>
      <c r="K13" s="65">
        <v>20</v>
      </c>
      <c r="L13" s="65">
        <v>30</v>
      </c>
      <c r="M13" s="65">
        <v>30</v>
      </c>
      <c r="N13" s="65">
        <v>30</v>
      </c>
      <c r="O13" s="65">
        <v>30</v>
      </c>
      <c r="P13" s="65">
        <f>SUM(D13:O13)</f>
        <v>150</v>
      </c>
    </row>
    <row r="14" spans="1:16" x14ac:dyDescent="0.25">
      <c r="A14" s="57">
        <v>7</v>
      </c>
      <c r="B14" s="58" t="s">
        <v>9</v>
      </c>
      <c r="C14" s="65">
        <v>350</v>
      </c>
      <c r="D14" s="65">
        <v>30</v>
      </c>
      <c r="E14" s="65">
        <v>45</v>
      </c>
      <c r="F14" s="65">
        <v>45</v>
      </c>
      <c r="G14" s="65"/>
      <c r="H14" s="65"/>
      <c r="I14" s="65"/>
      <c r="J14" s="65">
        <v>20</v>
      </c>
      <c r="K14" s="65">
        <v>30</v>
      </c>
      <c r="L14" s="65">
        <v>45</v>
      </c>
      <c r="M14" s="65">
        <v>45</v>
      </c>
      <c r="N14" s="65">
        <v>45</v>
      </c>
      <c r="O14" s="65">
        <v>45</v>
      </c>
      <c r="P14" s="65">
        <f>SUM(D14:O14)</f>
        <v>350</v>
      </c>
    </row>
    <row r="15" spans="1:16" ht="18.75" thickBot="1" x14ac:dyDescent="0.3">
      <c r="A15" s="61"/>
      <c r="B15" s="62"/>
      <c r="C15" s="71">
        <f t="shared" ref="C15:P15" si="2">+SUM(C8:C14)</f>
        <v>1378</v>
      </c>
      <c r="D15" s="71">
        <f t="shared" si="2"/>
        <v>55</v>
      </c>
      <c r="E15" s="71">
        <f t="shared" si="2"/>
        <v>105</v>
      </c>
      <c r="F15" s="71">
        <f t="shared" si="2"/>
        <v>108</v>
      </c>
      <c r="G15" s="71">
        <f t="shared" si="2"/>
        <v>0</v>
      </c>
      <c r="H15" s="71">
        <f t="shared" si="2"/>
        <v>0</v>
      </c>
      <c r="I15" s="71">
        <f t="shared" si="2"/>
        <v>0</v>
      </c>
      <c r="J15" s="71">
        <f t="shared" si="2"/>
        <v>75</v>
      </c>
      <c r="K15" s="71">
        <f t="shared" si="2"/>
        <v>155</v>
      </c>
      <c r="L15" s="71">
        <f t="shared" si="2"/>
        <v>220</v>
      </c>
      <c r="M15" s="71">
        <f t="shared" si="2"/>
        <v>220</v>
      </c>
      <c r="N15" s="71">
        <f t="shared" si="2"/>
        <v>220</v>
      </c>
      <c r="O15" s="71">
        <f t="shared" si="2"/>
        <v>220</v>
      </c>
      <c r="P15" s="71">
        <f t="shared" si="2"/>
        <v>1378</v>
      </c>
    </row>
  </sheetData>
  <mergeCells count="1">
    <mergeCell ref="B1:P1"/>
  </mergeCells>
  <pageMargins left="0.25" right="0.25" top="0.75" bottom="0.75" header="0.3" footer="0.3"/>
  <pageSetup paperSize="9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8"/>
  <sheetViews>
    <sheetView tabSelected="1" view="pageBreakPreview" zoomScale="60" zoomScaleNormal="100" workbookViewId="0">
      <selection sqref="A1:Q21"/>
    </sheetView>
  </sheetViews>
  <sheetFormatPr defaultRowHeight="15" x14ac:dyDescent="0.2"/>
  <cols>
    <col min="1" max="1" width="11.42578125" style="47" customWidth="1"/>
    <col min="2" max="2" width="39.28515625" style="47" customWidth="1"/>
    <col min="3" max="3" width="15.42578125" style="47" customWidth="1"/>
    <col min="4" max="16384" width="9.140625" style="47"/>
  </cols>
  <sheetData>
    <row r="1" spans="1:16" ht="37.5" customHeight="1" thickBot="1" x14ac:dyDescent="0.25">
      <c r="A1" s="46"/>
      <c r="B1" s="72" t="s">
        <v>22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1:16" ht="15.75" x14ac:dyDescent="0.2">
      <c r="A2" s="32" t="s">
        <v>4</v>
      </c>
      <c r="B2" s="33" t="s">
        <v>0</v>
      </c>
      <c r="C2" s="34" t="s">
        <v>20</v>
      </c>
      <c r="D2" s="35">
        <v>46478</v>
      </c>
      <c r="E2" s="36">
        <v>46508</v>
      </c>
      <c r="F2" s="35">
        <v>46539</v>
      </c>
      <c r="G2" s="36">
        <v>46569</v>
      </c>
      <c r="H2" s="35">
        <v>46600</v>
      </c>
      <c r="I2" s="36">
        <v>46631</v>
      </c>
      <c r="J2" s="35">
        <v>46661</v>
      </c>
      <c r="K2" s="36">
        <v>46692</v>
      </c>
      <c r="L2" s="35">
        <v>46722</v>
      </c>
      <c r="M2" s="36">
        <v>46753</v>
      </c>
      <c r="N2" s="35">
        <v>46784</v>
      </c>
      <c r="O2" s="36">
        <v>46813</v>
      </c>
      <c r="P2" s="37" t="s">
        <v>1</v>
      </c>
    </row>
    <row r="3" spans="1:16" x14ac:dyDescent="0.2">
      <c r="A3" s="23">
        <v>1</v>
      </c>
      <c r="B3" s="38" t="s">
        <v>9</v>
      </c>
      <c r="C3" s="28"/>
      <c r="D3" s="42"/>
      <c r="E3" s="43"/>
      <c r="F3" s="44"/>
      <c r="G3" s="42"/>
      <c r="H3" s="43"/>
      <c r="I3" s="44"/>
      <c r="J3" s="42"/>
      <c r="K3" s="43"/>
      <c r="L3" s="44"/>
      <c r="M3" s="42"/>
      <c r="N3" s="43"/>
      <c r="O3" s="44"/>
      <c r="P3" s="45">
        <f>SUM(D3:O3)</f>
        <v>0</v>
      </c>
    </row>
    <row r="4" spans="1:16" x14ac:dyDescent="0.2">
      <c r="A4" s="23">
        <v>2</v>
      </c>
      <c r="B4" s="38" t="s">
        <v>3</v>
      </c>
      <c r="C4" s="28">
        <v>855</v>
      </c>
      <c r="D4" s="42">
        <v>300</v>
      </c>
      <c r="E4" s="43">
        <v>300</v>
      </c>
      <c r="F4" s="44">
        <v>255</v>
      </c>
      <c r="G4" s="42"/>
      <c r="H4" s="43"/>
      <c r="I4" s="44"/>
      <c r="J4" s="42"/>
      <c r="K4" s="43"/>
      <c r="L4" s="44"/>
      <c r="M4" s="42"/>
      <c r="N4" s="43"/>
      <c r="O4" s="44"/>
      <c r="P4" s="45">
        <f>SUM(D4:O4)</f>
        <v>855</v>
      </c>
    </row>
    <row r="5" spans="1:16" ht="16.5" thickBot="1" x14ac:dyDescent="0.25">
      <c r="A5" s="48"/>
      <c r="B5" s="49"/>
      <c r="C5" s="39">
        <f>SUM(C3:C4)</f>
        <v>855</v>
      </c>
      <c r="D5" s="39">
        <f t="shared" ref="D5:P5" si="0">SUM(D3:D4)</f>
        <v>300</v>
      </c>
      <c r="E5" s="39">
        <f t="shared" si="0"/>
        <v>300</v>
      </c>
      <c r="F5" s="39">
        <f t="shared" si="0"/>
        <v>255</v>
      </c>
      <c r="G5" s="39">
        <f t="shared" si="0"/>
        <v>0</v>
      </c>
      <c r="H5" s="39">
        <f t="shared" si="0"/>
        <v>0</v>
      </c>
      <c r="I5" s="39">
        <f t="shared" si="0"/>
        <v>0</v>
      </c>
      <c r="J5" s="39">
        <f t="shared" si="0"/>
        <v>0</v>
      </c>
      <c r="K5" s="39">
        <f t="shared" si="0"/>
        <v>0</v>
      </c>
      <c r="L5" s="39">
        <f t="shared" si="0"/>
        <v>0</v>
      </c>
      <c r="M5" s="39">
        <f t="shared" si="0"/>
        <v>0</v>
      </c>
      <c r="N5" s="39">
        <f t="shared" si="0"/>
        <v>0</v>
      </c>
      <c r="O5" s="39">
        <f t="shared" si="0"/>
        <v>0</v>
      </c>
      <c r="P5" s="39">
        <f t="shared" si="0"/>
        <v>855</v>
      </c>
    </row>
    <row r="6" spans="1:16" ht="15.75" thickBot="1" x14ac:dyDescent="0.25">
      <c r="A6" s="46"/>
      <c r="B6" s="50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</row>
    <row r="7" spans="1:16" ht="15.75" x14ac:dyDescent="0.2">
      <c r="A7" s="32" t="s">
        <v>4</v>
      </c>
      <c r="B7" s="33" t="s">
        <v>0</v>
      </c>
      <c r="C7" s="34" t="s">
        <v>20</v>
      </c>
      <c r="D7" s="35">
        <v>46478</v>
      </c>
      <c r="E7" s="36">
        <v>46508</v>
      </c>
      <c r="F7" s="35">
        <v>46539</v>
      </c>
      <c r="G7" s="36">
        <v>46569</v>
      </c>
      <c r="H7" s="35">
        <v>46600</v>
      </c>
      <c r="I7" s="36">
        <v>46631</v>
      </c>
      <c r="J7" s="35">
        <v>46661</v>
      </c>
      <c r="K7" s="36">
        <v>46692</v>
      </c>
      <c r="L7" s="35">
        <v>46722</v>
      </c>
      <c r="M7" s="36">
        <v>46753</v>
      </c>
      <c r="N7" s="35">
        <v>46784</v>
      </c>
      <c r="O7" s="36">
        <v>46813</v>
      </c>
      <c r="P7" s="37" t="s">
        <v>1</v>
      </c>
    </row>
    <row r="8" spans="1:16" x14ac:dyDescent="0.2">
      <c r="A8" s="23">
        <v>1</v>
      </c>
      <c r="B8" s="38" t="s">
        <v>8</v>
      </c>
      <c r="C8" s="28">
        <v>58</v>
      </c>
      <c r="D8" s="42">
        <v>30</v>
      </c>
      <c r="E8" s="43">
        <v>28</v>
      </c>
      <c r="F8" s="44"/>
      <c r="G8" s="42"/>
      <c r="H8" s="43"/>
      <c r="I8" s="44"/>
      <c r="J8" s="42"/>
      <c r="K8" s="43"/>
      <c r="L8" s="44"/>
      <c r="M8" s="42"/>
      <c r="N8" s="43"/>
      <c r="O8" s="44"/>
      <c r="P8" s="45">
        <f>SUM(D8:O8)</f>
        <v>58</v>
      </c>
    </row>
    <row r="9" spans="1:16" ht="30" x14ac:dyDescent="0.2">
      <c r="A9" s="23">
        <v>2</v>
      </c>
      <c r="B9" s="38" t="s">
        <v>2</v>
      </c>
      <c r="C9" s="28">
        <v>67</v>
      </c>
      <c r="D9" s="42">
        <v>35</v>
      </c>
      <c r="E9" s="43">
        <v>32</v>
      </c>
      <c r="F9" s="44"/>
      <c r="G9" s="42"/>
      <c r="H9" s="43"/>
      <c r="I9" s="44"/>
      <c r="J9" s="42"/>
      <c r="K9" s="43"/>
      <c r="L9" s="44"/>
      <c r="M9" s="42"/>
      <c r="N9" s="43"/>
      <c r="O9" s="44"/>
      <c r="P9" s="45">
        <f>SUM(D9:O9)</f>
        <v>67</v>
      </c>
    </row>
    <row r="10" spans="1:16" x14ac:dyDescent="0.2">
      <c r="A10" s="23">
        <v>3</v>
      </c>
      <c r="B10" s="38" t="s">
        <v>6</v>
      </c>
      <c r="C10" s="28">
        <v>65</v>
      </c>
      <c r="D10" s="42">
        <v>25</v>
      </c>
      <c r="E10" s="43">
        <v>25</v>
      </c>
      <c r="F10" s="44">
        <v>15</v>
      </c>
      <c r="G10" s="42"/>
      <c r="H10" s="43"/>
      <c r="I10" s="44"/>
      <c r="J10" s="42"/>
      <c r="K10" s="43"/>
      <c r="L10" s="44"/>
      <c r="M10" s="42"/>
      <c r="N10" s="43"/>
      <c r="O10" s="44"/>
      <c r="P10" s="45">
        <f>SUM(D10:O10)</f>
        <v>65</v>
      </c>
    </row>
    <row r="11" spans="1:16" x14ac:dyDescent="0.2">
      <c r="A11" s="23">
        <v>4</v>
      </c>
      <c r="B11" s="38" t="s">
        <v>5</v>
      </c>
      <c r="C11" s="28">
        <v>115</v>
      </c>
      <c r="D11" s="42">
        <v>35</v>
      </c>
      <c r="E11" s="43">
        <v>35</v>
      </c>
      <c r="F11" s="44">
        <v>15</v>
      </c>
      <c r="G11" s="42"/>
      <c r="H11" s="43"/>
      <c r="I11" s="44"/>
      <c r="J11" s="42">
        <v>10</v>
      </c>
      <c r="K11" s="43">
        <v>20</v>
      </c>
      <c r="L11" s="44"/>
      <c r="M11" s="42"/>
      <c r="N11" s="43"/>
      <c r="O11" s="44"/>
      <c r="P11" s="45">
        <f>SUM(D11:O11)</f>
        <v>115</v>
      </c>
    </row>
    <row r="12" spans="1:16" x14ac:dyDescent="0.2">
      <c r="A12" s="23">
        <v>5</v>
      </c>
      <c r="B12" s="38" t="s">
        <v>11</v>
      </c>
      <c r="C12" s="28">
        <v>100</v>
      </c>
      <c r="D12" s="43"/>
      <c r="E12" s="43"/>
      <c r="F12" s="43"/>
      <c r="G12" s="43"/>
      <c r="H12" s="43"/>
      <c r="I12" s="43"/>
      <c r="J12" s="43">
        <v>10</v>
      </c>
      <c r="K12" s="43">
        <v>15</v>
      </c>
      <c r="L12" s="43">
        <v>15</v>
      </c>
      <c r="M12" s="43">
        <v>20</v>
      </c>
      <c r="N12" s="43">
        <v>20</v>
      </c>
      <c r="O12" s="43">
        <v>20</v>
      </c>
      <c r="P12" s="45">
        <f t="shared" ref="P12" si="1">SUM(D12:O12)</f>
        <v>100</v>
      </c>
    </row>
    <row r="13" spans="1:16" x14ac:dyDescent="0.2">
      <c r="A13" s="23">
        <v>6</v>
      </c>
      <c r="B13" s="38" t="s">
        <v>12</v>
      </c>
      <c r="C13" s="28">
        <v>90</v>
      </c>
      <c r="D13" s="43"/>
      <c r="E13" s="43"/>
      <c r="F13" s="43"/>
      <c r="G13" s="43"/>
      <c r="H13" s="43"/>
      <c r="I13" s="43"/>
      <c r="J13" s="43">
        <v>5</v>
      </c>
      <c r="K13" s="43">
        <v>10</v>
      </c>
      <c r="L13" s="43">
        <v>15</v>
      </c>
      <c r="M13" s="43">
        <v>20</v>
      </c>
      <c r="N13" s="43">
        <v>20</v>
      </c>
      <c r="O13" s="43">
        <v>20</v>
      </c>
      <c r="P13" s="45">
        <f>SUM(D13:O13)</f>
        <v>90</v>
      </c>
    </row>
    <row r="14" spans="1:16" x14ac:dyDescent="0.2">
      <c r="A14" s="23">
        <v>7</v>
      </c>
      <c r="B14" s="38" t="s">
        <v>13</v>
      </c>
      <c r="C14" s="28">
        <v>12</v>
      </c>
      <c r="D14" s="42">
        <v>12</v>
      </c>
      <c r="E14" s="43"/>
      <c r="F14" s="44"/>
      <c r="G14" s="42"/>
      <c r="H14" s="43"/>
      <c r="I14" s="44"/>
      <c r="J14" s="42"/>
      <c r="K14" s="43"/>
      <c r="L14" s="44"/>
      <c r="M14" s="42"/>
      <c r="N14" s="43"/>
      <c r="O14" s="44"/>
      <c r="P14" s="45">
        <f>SUM(D14:O14)</f>
        <v>12</v>
      </c>
    </row>
    <row r="15" spans="1:16" x14ac:dyDescent="0.2">
      <c r="A15" s="23">
        <v>8</v>
      </c>
      <c r="B15" s="38" t="s">
        <v>7</v>
      </c>
      <c r="C15" s="28">
        <v>149</v>
      </c>
      <c r="D15" s="42">
        <v>30</v>
      </c>
      <c r="E15" s="43">
        <v>30</v>
      </c>
      <c r="F15" s="44">
        <v>20</v>
      </c>
      <c r="G15" s="42"/>
      <c r="H15" s="43"/>
      <c r="I15" s="44"/>
      <c r="J15" s="42">
        <v>5</v>
      </c>
      <c r="K15" s="43">
        <v>25</v>
      </c>
      <c r="L15" s="44">
        <v>39</v>
      </c>
      <c r="M15" s="42"/>
      <c r="N15" s="43"/>
      <c r="O15" s="44"/>
      <c r="P15" s="45">
        <f t="shared" ref="P15:P17" si="2">SUM(D15:O15)</f>
        <v>149</v>
      </c>
    </row>
    <row r="16" spans="1:16" x14ac:dyDescent="0.2">
      <c r="A16" s="23">
        <v>9</v>
      </c>
      <c r="B16" s="38" t="s">
        <v>9</v>
      </c>
      <c r="C16" s="28">
        <v>52</v>
      </c>
      <c r="D16" s="42">
        <v>40</v>
      </c>
      <c r="E16" s="43">
        <v>12</v>
      </c>
      <c r="F16" s="44"/>
      <c r="G16" s="42"/>
      <c r="H16" s="43"/>
      <c r="I16" s="44"/>
      <c r="J16" s="42"/>
      <c r="K16" s="43"/>
      <c r="L16" s="44"/>
      <c r="M16" s="42"/>
      <c r="N16" s="43"/>
      <c r="O16" s="44"/>
      <c r="P16" s="45">
        <f t="shared" si="2"/>
        <v>52</v>
      </c>
    </row>
    <row r="17" spans="1:16" x14ac:dyDescent="0.2">
      <c r="A17" s="23">
        <v>10</v>
      </c>
      <c r="B17" s="40" t="s">
        <v>19</v>
      </c>
      <c r="C17" s="41">
        <v>100</v>
      </c>
      <c r="D17" s="43"/>
      <c r="E17" s="43"/>
      <c r="F17" s="43"/>
      <c r="G17" s="43"/>
      <c r="H17" s="43"/>
      <c r="I17" s="43"/>
      <c r="J17" s="43">
        <v>10</v>
      </c>
      <c r="K17" s="43">
        <v>15</v>
      </c>
      <c r="L17" s="43">
        <v>15</v>
      </c>
      <c r="M17" s="43">
        <v>20</v>
      </c>
      <c r="N17" s="43">
        <v>20</v>
      </c>
      <c r="O17" s="43">
        <v>20</v>
      </c>
      <c r="P17" s="45">
        <f t="shared" si="2"/>
        <v>100</v>
      </c>
    </row>
    <row r="18" spans="1:16" ht="16.5" thickBot="1" x14ac:dyDescent="0.25">
      <c r="A18" s="23"/>
      <c r="B18" s="49"/>
      <c r="C18" s="39">
        <f>SUM(C8:C17)</f>
        <v>808</v>
      </c>
      <c r="D18" s="39">
        <f>+SUM(D8:D17)</f>
        <v>207</v>
      </c>
      <c r="E18" s="39">
        <f t="shared" ref="E18:P18" si="3">+SUM(E8:E17)</f>
        <v>162</v>
      </c>
      <c r="F18" s="39">
        <f t="shared" si="3"/>
        <v>50</v>
      </c>
      <c r="G18" s="39">
        <f t="shared" si="3"/>
        <v>0</v>
      </c>
      <c r="H18" s="39">
        <f t="shared" si="3"/>
        <v>0</v>
      </c>
      <c r="I18" s="39">
        <f t="shared" si="3"/>
        <v>0</v>
      </c>
      <c r="J18" s="39">
        <f t="shared" si="3"/>
        <v>40</v>
      </c>
      <c r="K18" s="39">
        <f t="shared" si="3"/>
        <v>85</v>
      </c>
      <c r="L18" s="39">
        <f t="shared" si="3"/>
        <v>84</v>
      </c>
      <c r="M18" s="39">
        <f t="shared" si="3"/>
        <v>60</v>
      </c>
      <c r="N18" s="39">
        <f t="shared" si="3"/>
        <v>60</v>
      </c>
      <c r="O18" s="39">
        <f t="shared" si="3"/>
        <v>60</v>
      </c>
      <c r="P18" s="39">
        <f t="shared" si="3"/>
        <v>808</v>
      </c>
    </row>
  </sheetData>
  <mergeCells count="1">
    <mergeCell ref="B1:P1"/>
  </mergeCells>
  <pageMargins left="0.25" right="0.25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 2026-27</vt:lpstr>
      <vt:lpstr>RE 2026-27</vt:lpstr>
      <vt:lpstr>BE 2027-28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Niranjanbhai Bhardwaj-120978</dc:creator>
  <cp:lastModifiedBy>SANDIP KUMAR KAUR-81753</cp:lastModifiedBy>
  <cp:lastPrinted>2026-04-30T04:22:14Z</cp:lastPrinted>
  <dcterms:created xsi:type="dcterms:W3CDTF">2024-03-19T07:13:48Z</dcterms:created>
  <dcterms:modified xsi:type="dcterms:W3CDTF">2026-04-30T04:23:01Z</dcterms:modified>
</cp:coreProperties>
</file>