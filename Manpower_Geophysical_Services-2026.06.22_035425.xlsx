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05405\Downloads\"/>
    </mc:Choice>
  </mc:AlternateContent>
  <xr:revisionPtr revIDLastSave="0" documentId="13_ncr:1_{B174CD1B-4062-43D8-AD65-6D0976C71743}" xr6:coauthVersionLast="47" xr6:coauthVersionMax="47" xr10:uidLastSave="{00000000-0000-0000-0000-000000000000}"/>
  <bookViews>
    <workbookView xWindow="0" yWindow="0" windowWidth="28800" windowHeight="15180" xr2:uid="{00000000-000D-0000-FFFF-FFFF00000000}"/>
  </bookViews>
  <sheets>
    <sheet name="Manpower Status GPS-2026" sheetId="1" r:id="rId1"/>
  </sheets>
  <definedNames>
    <definedName name="_xlnm._FilterDatabase" localSheetId="0" hidden="1">'Manpower Status GPS-2026'!$D$1:$D$137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12" i="1"/>
  <c r="L11" i="1"/>
  <c r="L9" i="1"/>
  <c r="L8" i="1"/>
  <c r="L7" i="1"/>
  <c r="L6" i="1"/>
  <c r="M42" i="1" l="1"/>
  <c r="M43" i="1"/>
  <c r="M44" i="1"/>
  <c r="M45" i="1"/>
  <c r="M46" i="1"/>
  <c r="M47" i="1"/>
  <c r="M48" i="1"/>
  <c r="M49" i="1"/>
  <c r="M50" i="1"/>
  <c r="M41" i="1"/>
  <c r="L4" i="1" l="1"/>
</calcChain>
</file>

<file path=xl/sharedStrings.xml><?xml version="1.0" encoding="utf-8"?>
<sst xmlns="http://schemas.openxmlformats.org/spreadsheetml/2006/main" count="577" uniqueCount="269">
  <si>
    <t>Sl. No.</t>
  </si>
  <si>
    <t>CPF No.</t>
  </si>
  <si>
    <t xml:space="preserve"> Name of Employee</t>
  </si>
  <si>
    <t>Designation</t>
  </si>
  <si>
    <t>Mobile</t>
  </si>
  <si>
    <t>Level</t>
  </si>
  <si>
    <t>CRC</t>
  </si>
  <si>
    <t>Assignment</t>
  </si>
  <si>
    <t>Sandip Kumar Kaur</t>
  </si>
  <si>
    <t>Chief General Manager (Geophysics-Surface)</t>
  </si>
  <si>
    <t>E7</t>
  </si>
  <si>
    <t>L2</t>
  </si>
  <si>
    <t>Puneet Gaba</t>
  </si>
  <si>
    <t>E5</t>
  </si>
  <si>
    <t>L3</t>
  </si>
  <si>
    <t>Mahavir Singh</t>
  </si>
  <si>
    <t>Chief Geophysicist (Surface)</t>
  </si>
  <si>
    <t>E4</t>
  </si>
  <si>
    <t>D S Prajapati</t>
  </si>
  <si>
    <t>Chief Manager (Survey )</t>
  </si>
  <si>
    <t>Rajeeva Kumar Jaiswal</t>
  </si>
  <si>
    <t>L4</t>
  </si>
  <si>
    <t>Vaibhav Gupta</t>
  </si>
  <si>
    <t>Vijay Kumar Rai</t>
  </si>
  <si>
    <t>Superintending Geophysicist (Surface)</t>
  </si>
  <si>
    <t>E3</t>
  </si>
  <si>
    <t>Shashank Sangewar</t>
  </si>
  <si>
    <t>Umang Prajapati</t>
  </si>
  <si>
    <t>Mahesh C. Pathak</t>
  </si>
  <si>
    <t xml:space="preserve">	Senior Worker (Office)</t>
  </si>
  <si>
    <t>W5</t>
  </si>
  <si>
    <t>Senior Geophysicist ( Surface )</t>
  </si>
  <si>
    <t>Head Geophysical Services</t>
  </si>
  <si>
    <t>In charge Operations - I</t>
  </si>
  <si>
    <t>In charge Operations - II</t>
  </si>
  <si>
    <t>Field Survey QC</t>
  </si>
  <si>
    <t>Budget Coordinator</t>
  </si>
  <si>
    <t>I/c BS&amp;L, O/o HGS</t>
  </si>
  <si>
    <t>Office attendant</t>
  </si>
  <si>
    <t>GP-3</t>
  </si>
  <si>
    <t>Ravi Dwivedi</t>
  </si>
  <si>
    <t>Punam Bhai Mahiji Bhai Parmar</t>
  </si>
  <si>
    <t>Manager (Survey)</t>
  </si>
  <si>
    <t>Yashavant Kumar Singh</t>
  </si>
  <si>
    <t>E2</t>
  </si>
  <si>
    <t>Ashish Ranjan</t>
  </si>
  <si>
    <t>Sudhakar Yadav</t>
  </si>
  <si>
    <t>Ajad Mohan</t>
  </si>
  <si>
    <t>Geophysicist ( Surface )</t>
  </si>
  <si>
    <t>E1</t>
  </si>
  <si>
    <t>Gagandeep Singh</t>
  </si>
  <si>
    <t>Amitkumar Lalijibhai Chauhan</t>
  </si>
  <si>
    <t>Assistant Geophysicist ( Surface )</t>
  </si>
  <si>
    <t>E0</t>
  </si>
  <si>
    <t>Jayantilal B Leuva</t>
  </si>
  <si>
    <t>A4</t>
  </si>
  <si>
    <t>Party Chief, GP-03</t>
  </si>
  <si>
    <t>Topographical Survey</t>
  </si>
  <si>
    <t>Seismic Data Acquisition</t>
  </si>
  <si>
    <t>GP-6</t>
  </si>
  <si>
    <t>Pankaj Singh Gangwar</t>
  </si>
  <si>
    <t>Senior Geophysicist (Surface)</t>
  </si>
  <si>
    <t>Rajesh Sakalchand Suthar</t>
  </si>
  <si>
    <t>Executive Engineer ( Mechanical )</t>
  </si>
  <si>
    <t>Prashant</t>
  </si>
  <si>
    <t>Ram Sudhar </t>
  </si>
  <si>
    <t>Shubham Nayak</t>
  </si>
  <si>
    <t>Rishabh Shukla</t>
  </si>
  <si>
    <t>Vishal Pandey</t>
  </si>
  <si>
    <t>Geophysicist (Surface)</t>
  </si>
  <si>
    <t>Dipak M Kantariya</t>
  </si>
  <si>
    <t>Assistant Geophysicist (Surface)</t>
  </si>
  <si>
    <t>Vijaykumar C Mistry</t>
  </si>
  <si>
    <t>Kuldip J Raval </t>
  </si>
  <si>
    <t>Junior Scientific Assistant (Geophysicist-S)</t>
  </si>
  <si>
    <t>F1</t>
  </si>
  <si>
    <t xml:space="preserve">9428007387	</t>
  </si>
  <si>
    <t xml:space="preserve">9428007394	</t>
  </si>
  <si>
    <t>Party Chief, GP-06</t>
  </si>
  <si>
    <t>Repair and Maintenance of vehicles</t>
  </si>
  <si>
    <t>GP-15</t>
  </si>
  <si>
    <t>Moh Vaseem Akram </t>
  </si>
  <si>
    <t>Ayush Chandra</t>
  </si>
  <si>
    <t>Sahil Ansari</t>
  </si>
  <si>
    <t>Vijaykumar B Parekh</t>
  </si>
  <si>
    <t>Harshkumar M Pancha</t>
  </si>
  <si>
    <t>GP-16</t>
  </si>
  <si>
    <t>Anuj Kumar Singh</t>
  </si>
  <si>
    <t>S. R. Vasava</t>
  </si>
  <si>
    <t>Digambar Pradhan</t>
  </si>
  <si>
    <t>Rahul Kr. Singh</t>
  </si>
  <si>
    <t>Ashif Ali</t>
  </si>
  <si>
    <t>Mayur Trivedi</t>
  </si>
  <si>
    <t>M. A. Rathva</t>
  </si>
  <si>
    <t>GP-26</t>
  </si>
  <si>
    <t>Anukaran Toppo</t>
  </si>
  <si>
    <t>GP-36</t>
  </si>
  <si>
    <t>Pradeep Kumar Das</t>
  </si>
  <si>
    <t>Abhishek Satyavir Sharma</t>
  </si>
  <si>
    <t>Geophysicist (S)</t>
  </si>
  <si>
    <t>Washim Akram</t>
  </si>
  <si>
    <t>Jaywheel K Patel</t>
  </si>
  <si>
    <t>Sr. Scientific Assistant (Geophysics-S)</t>
  </si>
  <si>
    <t>Gordhanbhai C Rathva</t>
  </si>
  <si>
    <t>GP-61</t>
  </si>
  <si>
    <t>Prashant Kumar</t>
  </si>
  <si>
    <t>Abdur Rouf</t>
  </si>
  <si>
    <t>Naveen</t>
  </si>
  <si>
    <t>P SREENU</t>
  </si>
  <si>
    <t>Sanjay N Vankar</t>
  </si>
  <si>
    <t>Sufan M Mansuri </t>
  </si>
  <si>
    <t>Ganeshbhai C Makwana</t>
  </si>
  <si>
    <t>Shekh Savejbhai Basir Ahamad</t>
  </si>
  <si>
    <t>GP-81</t>
  </si>
  <si>
    <t>Ajay Kumar Yadav</t>
  </si>
  <si>
    <t>Awneesh Kumar</t>
  </si>
  <si>
    <t>Mayank Pandey</t>
  </si>
  <si>
    <t>Ashutosh Kumar</t>
  </si>
  <si>
    <t>Kirit P Patel</t>
  </si>
  <si>
    <t>Dipak Kumar C Gandhi</t>
  </si>
  <si>
    <t>Dr. Shivam M. Joshi</t>
  </si>
  <si>
    <t>F3</t>
  </si>
  <si>
    <t>A3</t>
  </si>
  <si>
    <t>Party Chief, GP-15</t>
  </si>
  <si>
    <t>Party Chief, GP-16</t>
  </si>
  <si>
    <t>Party Chief, GP-61</t>
  </si>
  <si>
    <t>Driver / Winch Operation</t>
  </si>
  <si>
    <t>Party Chief, GP-26</t>
  </si>
  <si>
    <t>Party Chief, GP-36</t>
  </si>
  <si>
    <t>E6</t>
  </si>
  <si>
    <t>Rajendra Kumar Bhatt</t>
  </si>
  <si>
    <t>General Manager (Electronics &amp; Telecom)</t>
  </si>
  <si>
    <t>Group Head (Hardware Group)</t>
  </si>
  <si>
    <t>General Manager (Programming)</t>
  </si>
  <si>
    <t>Hemanta kumar Gogoi</t>
  </si>
  <si>
    <t>Software Management</t>
  </si>
  <si>
    <t>Jayashree Prusty</t>
  </si>
  <si>
    <t>Deputy General Manager (Programming)</t>
  </si>
  <si>
    <t>Deputy General Manager (Surface)</t>
  </si>
  <si>
    <t>Gyan Prakash</t>
  </si>
  <si>
    <t>Seismic Data Processing</t>
  </si>
  <si>
    <t>Srinivasa Rao Panga</t>
  </si>
  <si>
    <t>Group Head (Gr.-IV)</t>
  </si>
  <si>
    <t>Deb Chatterjee</t>
  </si>
  <si>
    <t>Group Head (Gr.-I)</t>
  </si>
  <si>
    <t>Madan Mohan Pandey </t>
  </si>
  <si>
    <t>Chief Manager (Programming)</t>
  </si>
  <si>
    <t>Sharat Shekhar</t>
  </si>
  <si>
    <t>Indrajit Dalui</t>
  </si>
  <si>
    <t>Rathod Kunal Lalitbhai</t>
  </si>
  <si>
    <t>Sachin Kumar </t>
  </si>
  <si>
    <t>Nisha</t>
  </si>
  <si>
    <t>Snehanjan Mishra</t>
  </si>
  <si>
    <t>Ankita Kukshal</t>
  </si>
  <si>
    <t>Dr Vishnu Kant Verma</t>
  </si>
  <si>
    <t>Khan Shayama Pravin Guddu</t>
  </si>
  <si>
    <t>Prem Prakash Hansda</t>
  </si>
  <si>
    <t>Programming Officer</t>
  </si>
  <si>
    <t>Pradeep Negi</t>
  </si>
  <si>
    <t>Nishant Manharbhai Kachhadiya</t>
  </si>
  <si>
    <t>Assistant  Engineering (Electronics)</t>
  </si>
  <si>
    <t>Data Management</t>
  </si>
  <si>
    <t>S A Navsariwala</t>
  </si>
  <si>
    <t>Amitkumar I Patel</t>
  </si>
  <si>
    <t>Manish N Prajapati</t>
  </si>
  <si>
    <t>Santoshkumar H Chauhan</t>
  </si>
  <si>
    <t>Sanjay D Jingar</t>
  </si>
  <si>
    <t>Ajay S Telegaonkar</t>
  </si>
  <si>
    <t>Ashvin P Nakum</t>
  </si>
  <si>
    <t>Sr Engineering Assistant (Electronics)-F3</t>
  </si>
  <si>
    <t>RCC</t>
  </si>
  <si>
    <t>Ashok Kumar Dohare</t>
  </si>
  <si>
    <t>Ashutosh Khashaba Torne</t>
  </si>
  <si>
    <t>Deputy General Manager (Electronics &amp; Telecom)</t>
  </si>
  <si>
    <t>Parabhakar Mahadeo Tewankar </t>
  </si>
  <si>
    <t>Chief Engineer (Electronics &amp; Telecom)</t>
  </si>
  <si>
    <t>Sri Karthikeya Rajan R</t>
  </si>
  <si>
    <t>Assistant Executive Engineer ( Electronics )</t>
  </si>
  <si>
    <t>Rohit Yadav</t>
  </si>
  <si>
    <t>Executive Engineer ( Electronics )</t>
  </si>
  <si>
    <t>Arpan Harshadkumar Gosaliya</t>
  </si>
  <si>
    <t>Assistant Engineer (Electronics)</t>
  </si>
  <si>
    <t>Minu Sharma</t>
  </si>
  <si>
    <t>M L Chaudhary</t>
  </si>
  <si>
    <t>Mehul D parmar</t>
  </si>
  <si>
    <t>Prakashkumar M Chavda</t>
  </si>
  <si>
    <t>Onsite Maintenance and repair of field equipment</t>
  </si>
  <si>
    <t>REL</t>
  </si>
  <si>
    <t>Gayatri Pandey</t>
  </si>
  <si>
    <t>MV Driver</t>
  </si>
  <si>
    <t>&lt;E0</t>
  </si>
  <si>
    <t>Geophy.(E0 - E7)</t>
  </si>
  <si>
    <t>Electronics</t>
  </si>
  <si>
    <t>Surveyor</t>
  </si>
  <si>
    <t>Programming</t>
  </si>
  <si>
    <t>E&amp;T Engineer</t>
  </si>
  <si>
    <t>Sci. Asst(Geophy)</t>
  </si>
  <si>
    <t>Driver</t>
  </si>
  <si>
    <t>MM</t>
  </si>
  <si>
    <t>Attendant</t>
  </si>
  <si>
    <t>Mechanical</t>
  </si>
  <si>
    <t>Base office</t>
  </si>
  <si>
    <t>Geophysical Field parties</t>
  </si>
  <si>
    <t>Santosh Kumar Yadav</t>
  </si>
  <si>
    <t xml:space="preserve">9969224366	</t>
  </si>
  <si>
    <t>Party superviosr</t>
  </si>
  <si>
    <t>D Baskar</t>
  </si>
  <si>
    <t xml:space="preserve">9445005742	</t>
  </si>
  <si>
    <t>K Radhika</t>
  </si>
  <si>
    <t>General Manager (Geophy-Surface)</t>
  </si>
  <si>
    <t>I/c RCC</t>
  </si>
  <si>
    <t>GP-06</t>
  </si>
  <si>
    <t>GP-03</t>
  </si>
  <si>
    <t>Gourab Kumar Giri</t>
  </si>
  <si>
    <t>Ram Choudhary</t>
  </si>
  <si>
    <t>Operator (Winch)</t>
  </si>
  <si>
    <t>Damarla Surender</t>
  </si>
  <si>
    <t>Group Head (Gr.-II)</t>
  </si>
  <si>
    <t>Group Head (Software Group)</t>
  </si>
  <si>
    <t>Sangeeta R Savanur</t>
  </si>
  <si>
    <t>Chief Manager (Survey)</t>
  </si>
  <si>
    <t xml:space="preserve"> Assistant Superintendent (Surveying)</t>
  </si>
  <si>
    <t>S1</t>
  </si>
  <si>
    <t>Chief  Geophysicist (Surface)</t>
  </si>
  <si>
    <t>Assistant Superintendent (Surveying)</t>
  </si>
  <si>
    <t>Sr. Geophysicist (Surface)</t>
  </si>
  <si>
    <t>Asst. Superintendent (Survey)</t>
  </si>
  <si>
    <t>Pankaj Kumar Hodkasia</t>
  </si>
  <si>
    <t>Superintending Engineer (Electronics)</t>
  </si>
  <si>
    <t>Ravi Shankar Rai</t>
  </si>
  <si>
    <t>Dr. Ved Pal Singh </t>
  </si>
  <si>
    <t>I/c Quality Assurance</t>
  </si>
  <si>
    <t>Party Supervisor GP-15 &amp; GP-36</t>
  </si>
  <si>
    <t>Party Chief, GP-81</t>
  </si>
  <si>
    <t>Yogendra Kumar Singh </t>
  </si>
  <si>
    <t>Amol Pandit Vispute</t>
  </si>
  <si>
    <t>Assistant Executive Engineer (Mechanical)</t>
  </si>
  <si>
    <t>Avinash Pandey</t>
  </si>
  <si>
    <t>Tanmay Kumar Maji</t>
  </si>
  <si>
    <t>Pratibha Srivastava</t>
  </si>
  <si>
    <t>Deputy General Manager (Geophy-S)</t>
  </si>
  <si>
    <t>Dr Parul Bhardwaj </t>
  </si>
  <si>
    <t>Chief Geophysicist ( Surface )</t>
  </si>
  <si>
    <t>Asharya Chaubey</t>
  </si>
  <si>
    <t>John Thngkhosei </t>
  </si>
  <si>
    <t>Superintending Geophysicist ( Surface )</t>
  </si>
  <si>
    <t>Devendra Sudhir Thakur</t>
  </si>
  <si>
    <t>Pratik heshrao Korde </t>
  </si>
  <si>
    <t>Assistant Forman (Electronics)</t>
  </si>
  <si>
    <t>Deputy Assistant (SCM)</t>
  </si>
  <si>
    <t>A2</t>
  </si>
  <si>
    <t>SCM</t>
  </si>
  <si>
    <t>MVD</t>
  </si>
  <si>
    <t>Senior Engineering Assistant (Electronics)-F3</t>
  </si>
  <si>
    <t>Sr. Technician (Electronics)</t>
  </si>
  <si>
    <t>I/C HSE &amp; Party supervisor</t>
  </si>
  <si>
    <t>Party supervisor and I/C Contract Management</t>
  </si>
  <si>
    <t>Party supervisor</t>
  </si>
  <si>
    <t>Geophysicist( Surface )</t>
  </si>
  <si>
    <t>Sanjai Kumar Singh</t>
  </si>
  <si>
    <t>Incharge Technology Management</t>
  </si>
  <si>
    <t>Base Office</t>
  </si>
  <si>
    <t>Manpower Status of Geophysical Services, WON Basin, ONGC Vadodara</t>
  </si>
  <si>
    <t>General Manager (Geophysics)</t>
  </si>
  <si>
    <t>Deputy General Manager (Geophysics)</t>
  </si>
  <si>
    <t>Level Wise</t>
  </si>
  <si>
    <t>Discipline Wise</t>
  </si>
  <si>
    <t>Section Wise</t>
  </si>
  <si>
    <t>Organization Unit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</si>
</sst>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u/>
      <sz val="12"/>
      <name val="Times New Roman"/>
      <family val="1"/>
    </font>
    <font>
      <sz val="8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3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4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Fill="1" applyBorder="1"/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Level Wise Manpower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'Manpower Status GPS-2026'!$K$4:$K$13</c:f>
              <c:strCache>
                <c:ptCount val="10"/>
                <c:pt idx="0">
                  <c:v>E7</c:v>
                </c:pt>
                <c:pt idx="1">
                  <c:v>E6</c:v>
                </c:pt>
                <c:pt idx="2">
                  <c:v>E5</c:v>
                </c:pt>
                <c:pt idx="3">
                  <c:v>E4</c:v>
                </c:pt>
                <c:pt idx="4">
                  <c:v>E3</c:v>
                </c:pt>
                <c:pt idx="5">
                  <c:v>E2</c:v>
                </c:pt>
                <c:pt idx="7">
                  <c:v>E1</c:v>
                </c:pt>
                <c:pt idx="8">
                  <c:v>E0</c:v>
                </c:pt>
                <c:pt idx="9">
                  <c:v>&lt;E0</c:v>
                </c:pt>
              </c:strCache>
            </c:strRef>
          </c:cat>
          <c:val>
            <c:numRef>
              <c:f>'Manpower Status GPS-2026'!$L$4:$L$13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16</c:v>
                </c:pt>
                <c:pt idx="4">
                  <c:v>14</c:v>
                </c:pt>
                <c:pt idx="5">
                  <c:v>19</c:v>
                </c:pt>
                <c:pt idx="7">
                  <c:v>21</c:v>
                </c:pt>
                <c:pt idx="8">
                  <c:v>8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F-4C54-95A9-4B87B95394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7428424"/>
        <c:axId val="427428808"/>
      </c:barChart>
      <c:catAx>
        <c:axId val="42742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28808"/>
        <c:crosses val="autoZero"/>
        <c:auto val="1"/>
        <c:lblAlgn val="ctr"/>
        <c:lblOffset val="100"/>
        <c:noMultiLvlLbl val="0"/>
      </c:catAx>
      <c:valAx>
        <c:axId val="4274288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28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Discipline Wise Manpower</a:t>
            </a:r>
          </a:p>
        </c:rich>
      </c:tx>
      <c:layout>
        <c:manualLayout>
          <c:xMode val="edge"/>
          <c:yMode val="edge"/>
          <c:x val="0.27038607943039034"/>
          <c:y val="2.1114092576152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699972780811594E-2"/>
          <c:y val="0.22156630887685866"/>
          <c:w val="0.88418960212505382"/>
          <c:h val="0.413519674975841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'Manpower Status GPS-2026'!$N$4:$N$17</c:f>
              <c:strCache>
                <c:ptCount val="11"/>
                <c:pt idx="0">
                  <c:v>Geophy.(E0 - E7)</c:v>
                </c:pt>
                <c:pt idx="1">
                  <c:v>Electronics</c:v>
                </c:pt>
                <c:pt idx="2">
                  <c:v>Surveyor</c:v>
                </c:pt>
                <c:pt idx="3">
                  <c:v>Programming</c:v>
                </c:pt>
                <c:pt idx="4">
                  <c:v>E&amp;T Engineer</c:v>
                </c:pt>
                <c:pt idx="5">
                  <c:v>Sci. Asst(Geophy)</c:v>
                </c:pt>
                <c:pt idx="7">
                  <c:v>Driver</c:v>
                </c:pt>
                <c:pt idx="8">
                  <c:v>Mechanical</c:v>
                </c:pt>
                <c:pt idx="9">
                  <c:v>MM</c:v>
                </c:pt>
                <c:pt idx="10">
                  <c:v>Attendant</c:v>
                </c:pt>
              </c:strCache>
            </c:strRef>
          </c:cat>
          <c:val>
            <c:numRef>
              <c:f>'Manpower Status GPS-2026'!$O$4:$O$17</c:f>
              <c:numCache>
                <c:formatCode>General</c:formatCode>
                <c:ptCount val="14"/>
                <c:pt idx="0">
                  <c:v>70</c:v>
                </c:pt>
                <c:pt idx="1">
                  <c:v>19</c:v>
                </c:pt>
                <c:pt idx="2">
                  <c:v>9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1-4705-9C54-D25025A03A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100560"/>
        <c:axId val="427487720"/>
      </c:barChart>
      <c:catAx>
        <c:axId val="2161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87720"/>
        <c:crosses val="autoZero"/>
        <c:auto val="1"/>
        <c:lblAlgn val="ctr"/>
        <c:lblOffset val="100"/>
        <c:noMultiLvlLbl val="0"/>
      </c:catAx>
      <c:valAx>
        <c:axId val="427487720"/>
        <c:scaling>
          <c:orientation val="minMax"/>
        </c:scaling>
        <c:delete val="0"/>
        <c:axPos val="l"/>
        <c:majorGridlines>
          <c:spPr>
            <a:ln w="6350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Section wise Manpower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EFB-49D4-B000-7364E110D5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EFB-49D4-B000-7364E110D5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EFB-49D4-B000-7364E110D5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EFB-49D4-B000-7364E110D5E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'Manpower Status GPS-2026'!$T$4:$T$7</c:f>
              <c:strCache>
                <c:ptCount val="4"/>
                <c:pt idx="0">
                  <c:v>Base office</c:v>
                </c:pt>
                <c:pt idx="1">
                  <c:v>Geophysical Field parties</c:v>
                </c:pt>
                <c:pt idx="2">
                  <c:v>REL</c:v>
                </c:pt>
                <c:pt idx="3">
                  <c:v>RCC</c:v>
                </c:pt>
              </c:strCache>
            </c:strRef>
          </c:cat>
          <c:val>
            <c:numRef>
              <c:f>'Manpower Status GPS-2026'!$U$4:$U$7</c:f>
              <c:numCache>
                <c:formatCode>General</c:formatCode>
                <c:ptCount val="4"/>
                <c:pt idx="0">
                  <c:v>15</c:v>
                </c:pt>
                <c:pt idx="1">
                  <c:v>57</c:v>
                </c:pt>
                <c:pt idx="2">
                  <c:v>12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C-44D5-A6C2-EAD5F495FB62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530088</xdr:colOff>
      <xdr:row>22</xdr:row>
      <xdr:rowOff>11597</xdr:rowOff>
    </xdr:from>
    <xdr:to>
      <xdr:col>14</xdr:col>
      <xdr:colOff>455545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F3CBB-E9F7-4A1D-DFB0-BB32177F2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559491</xdr:colOff>
      <xdr:row>22</xdr:row>
      <xdr:rowOff>14495</xdr:rowOff>
    </xdr:from>
    <xdr:to>
      <xdr:col>22</xdr:col>
      <xdr:colOff>228186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2B2FBE-4F84-8200-BB08-8D7E86C19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251333</xdr:colOff>
      <xdr:row>34</xdr:row>
      <xdr:rowOff>142474</xdr:rowOff>
    </xdr:from>
    <xdr:to>
      <xdr:col>19</xdr:col>
      <xdr:colOff>477051</xdr:colOff>
      <xdr:row>49</xdr:row>
      <xdr:rowOff>128867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307FCA-1DC9-4621-3F90-9C476AADD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99682827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2"/>
  <sheetViews>
    <sheetView tabSelected="1" zoomScale="85" zoomScaleNormal="85" workbookViewId="0">
      <selection activeCell="K52" sqref="K52"/>
    </sheetView>
  </sheetViews>
  <sheetFormatPr defaultRowHeight="15" x14ac:dyDescent="0.25"/>
  <cols>
    <col min="1" max="1" width="13.140625" bestFit="1" customWidth="1"/>
    <col min="2" max="2" width="11.28515625" style="36" customWidth="1"/>
    <col min="3" max="3" width="34.140625" customWidth="1"/>
    <col min="4" max="4" width="50.7109375" bestFit="1" customWidth="1"/>
    <col min="5" max="5" width="14.28515625" style="1" bestFit="1" customWidth="1"/>
    <col min="6" max="6" width="7.85546875" style="36" customWidth="1"/>
    <col min="7" max="7" width="10.140625" style="36" customWidth="1"/>
    <col min="8" max="8" width="51.28515625" customWidth="1"/>
    <col min="10" max="10" width="11.42578125" bestFit="1" customWidth="1"/>
    <col min="14" max="14" width="23.7109375" bestFit="1" customWidth="1"/>
    <col min="15" max="15" width="9.7109375" customWidth="1"/>
    <col min="17" max="17" width="11.7109375" bestFit="1" customWidth="1"/>
    <col min="19" max="19" width="4.140625" customWidth="1"/>
    <col min="20" max="20" width="25.7109375" customWidth="1"/>
    <col min="23" max="23" width="11.42578125" bestFit="1" customWidth="1"/>
  </cols>
  <sheetData>
    <row r="1" spans="1:21" ht="33.75" customHeight="1" x14ac:dyDescent="0.25">
      <c r="A1" s="52" t="s">
        <v>262</v>
      </c>
      <c r="B1" s="53"/>
      <c r="C1" s="53"/>
      <c r="D1" s="53"/>
      <c r="E1" s="53"/>
      <c r="F1" s="53"/>
      <c r="G1" s="53"/>
      <c r="H1" s="54"/>
    </row>
    <row r="2" spans="1:21" ht="15.75" x14ac:dyDescent="0.25">
      <c r="A2" s="26"/>
      <c r="B2" s="27"/>
      <c r="C2" s="27"/>
      <c r="D2" s="27"/>
      <c r="E2" s="27"/>
      <c r="F2" s="27"/>
      <c r="G2" s="27"/>
      <c r="H2" s="28"/>
    </row>
    <row r="3" spans="1:21" ht="15.75" x14ac:dyDescent="0.25">
      <c r="A3" s="46" t="s">
        <v>261</v>
      </c>
      <c r="B3" s="45"/>
      <c r="C3" s="45"/>
      <c r="D3" s="45"/>
      <c r="E3" s="45"/>
      <c r="F3" s="45"/>
      <c r="G3" s="45"/>
      <c r="H3" s="45"/>
      <c r="K3" s="56" t="s">
        <v>265</v>
      </c>
      <c r="L3" s="56"/>
      <c r="N3" s="56" t="s">
        <v>266</v>
      </c>
      <c r="O3" s="56"/>
      <c r="Q3" s="56" t="s">
        <v>267</v>
      </c>
      <c r="R3" s="56"/>
      <c r="T3" s="56" t="s">
        <v>268</v>
      </c>
      <c r="U3" s="56"/>
    </row>
    <row r="4" spans="1:21" s="43" customFormat="1" ht="31.5" customHeight="1" x14ac:dyDescent="0.25">
      <c r="A4" s="40" t="s">
        <v>0</v>
      </c>
      <c r="B4" s="41" t="s">
        <v>1</v>
      </c>
      <c r="C4" s="42" t="s">
        <v>2</v>
      </c>
      <c r="D4" s="42" t="s">
        <v>3</v>
      </c>
      <c r="E4" s="42" t="s">
        <v>4</v>
      </c>
      <c r="F4" s="41" t="s">
        <v>5</v>
      </c>
      <c r="G4" s="41" t="s">
        <v>6</v>
      </c>
      <c r="H4" s="42" t="s">
        <v>7</v>
      </c>
      <c r="K4" s="8" t="s">
        <v>10</v>
      </c>
      <c r="L4" s="55">
        <f>COUNTIF(F:F, "E7")</f>
        <v>1</v>
      </c>
      <c r="M4" s="44"/>
      <c r="N4" s="55" t="s">
        <v>191</v>
      </c>
      <c r="O4" s="55">
        <v>70</v>
      </c>
      <c r="P4" s="44"/>
      <c r="Q4" s="55" t="s">
        <v>201</v>
      </c>
      <c r="R4" s="55">
        <v>15</v>
      </c>
      <c r="T4" s="55" t="s">
        <v>201</v>
      </c>
      <c r="U4" s="55">
        <v>15</v>
      </c>
    </row>
    <row r="5" spans="1:21" ht="15.75" x14ac:dyDescent="0.25">
      <c r="A5" s="29">
        <v>1</v>
      </c>
      <c r="B5" s="34">
        <v>81753</v>
      </c>
      <c r="C5" s="3" t="s">
        <v>8</v>
      </c>
      <c r="D5" s="3" t="s">
        <v>9</v>
      </c>
      <c r="E5" s="3">
        <v>9410391894</v>
      </c>
      <c r="F5" s="3" t="s">
        <v>10</v>
      </c>
      <c r="G5" s="3" t="s">
        <v>11</v>
      </c>
      <c r="H5" s="3" t="s">
        <v>32</v>
      </c>
      <c r="K5" s="7" t="s">
        <v>129</v>
      </c>
      <c r="L5" s="14">
        <f>COUNTIF(F:F, "E6")</f>
        <v>5</v>
      </c>
      <c r="M5" s="11"/>
      <c r="N5" s="14" t="s">
        <v>192</v>
      </c>
      <c r="O5" s="14">
        <v>19</v>
      </c>
      <c r="P5" s="11"/>
      <c r="Q5" s="14" t="s">
        <v>39</v>
      </c>
      <c r="R5" s="14">
        <v>9</v>
      </c>
      <c r="T5" s="14" t="s">
        <v>202</v>
      </c>
      <c r="U5" s="14">
        <v>57</v>
      </c>
    </row>
    <row r="6" spans="1:21" ht="15.75" x14ac:dyDescent="0.25">
      <c r="A6" s="29">
        <v>2</v>
      </c>
      <c r="B6" s="33">
        <v>73775</v>
      </c>
      <c r="C6" s="3" t="s">
        <v>259</v>
      </c>
      <c r="D6" s="3" t="s">
        <v>263</v>
      </c>
      <c r="E6" s="3"/>
      <c r="F6" s="3" t="s">
        <v>129</v>
      </c>
      <c r="G6" s="3" t="s">
        <v>14</v>
      </c>
      <c r="H6" s="3" t="s">
        <v>260</v>
      </c>
      <c r="K6" s="2" t="s">
        <v>13</v>
      </c>
      <c r="L6" s="14">
        <f>COUNTIF(F:F, "E5")</f>
        <v>8</v>
      </c>
      <c r="M6" s="11"/>
      <c r="N6" s="14" t="s">
        <v>193</v>
      </c>
      <c r="O6" s="14">
        <v>9</v>
      </c>
      <c r="P6" s="11"/>
      <c r="Q6" s="14" t="s">
        <v>59</v>
      </c>
      <c r="R6" s="14">
        <v>9</v>
      </c>
      <c r="T6" s="14" t="s">
        <v>187</v>
      </c>
      <c r="U6" s="14">
        <v>12</v>
      </c>
    </row>
    <row r="7" spans="1:21" ht="15.75" x14ac:dyDescent="0.25">
      <c r="A7" s="29">
        <v>2</v>
      </c>
      <c r="B7" s="34">
        <v>105386</v>
      </c>
      <c r="C7" s="3" t="s">
        <v>12</v>
      </c>
      <c r="D7" s="3" t="s">
        <v>264</v>
      </c>
      <c r="E7" s="14">
        <v>9410390637</v>
      </c>
      <c r="F7" s="15" t="s">
        <v>13</v>
      </c>
      <c r="G7" s="15" t="s">
        <v>14</v>
      </c>
      <c r="H7" s="2" t="s">
        <v>33</v>
      </c>
      <c r="K7" s="7" t="s">
        <v>17</v>
      </c>
      <c r="L7" s="14">
        <f>COUNTIF(F:F, "E4")</f>
        <v>16</v>
      </c>
      <c r="M7" s="11"/>
      <c r="N7" s="14" t="s">
        <v>194</v>
      </c>
      <c r="O7" s="14">
        <v>6</v>
      </c>
      <c r="P7" s="11"/>
      <c r="Q7" s="14" t="s">
        <v>80</v>
      </c>
      <c r="R7" s="14">
        <v>1</v>
      </c>
      <c r="T7" s="14" t="s">
        <v>170</v>
      </c>
      <c r="U7" s="14">
        <v>36</v>
      </c>
    </row>
    <row r="8" spans="1:21" ht="15.75" x14ac:dyDescent="0.25">
      <c r="A8" s="29">
        <v>3</v>
      </c>
      <c r="B8" s="34">
        <v>105405</v>
      </c>
      <c r="C8" s="3" t="s">
        <v>15</v>
      </c>
      <c r="D8" s="3" t="s">
        <v>264</v>
      </c>
      <c r="E8" s="17">
        <v>9428007223</v>
      </c>
      <c r="F8" s="15" t="s">
        <v>13</v>
      </c>
      <c r="G8" s="15" t="s">
        <v>14</v>
      </c>
      <c r="H8" s="2" t="s">
        <v>34</v>
      </c>
      <c r="K8" s="2" t="s">
        <v>25</v>
      </c>
      <c r="L8" s="14">
        <f>COUNTIF(F:F, "E3")</f>
        <v>14</v>
      </c>
      <c r="M8" s="11"/>
      <c r="N8" s="14" t="s">
        <v>195</v>
      </c>
      <c r="O8" s="14">
        <v>4</v>
      </c>
      <c r="P8" s="11"/>
      <c r="Q8" s="14" t="s">
        <v>86</v>
      </c>
      <c r="R8" s="14">
        <v>9</v>
      </c>
      <c r="T8" s="11"/>
      <c r="U8" s="11"/>
    </row>
    <row r="9" spans="1:21" ht="15.75" x14ac:dyDescent="0.25">
      <c r="A9" s="15">
        <v>4</v>
      </c>
      <c r="B9" s="35">
        <v>106159</v>
      </c>
      <c r="C9" s="30" t="s">
        <v>20</v>
      </c>
      <c r="D9" s="30" t="s">
        <v>264</v>
      </c>
      <c r="E9" s="31">
        <v>9428828092</v>
      </c>
      <c r="F9" s="39" t="s">
        <v>13</v>
      </c>
      <c r="G9" s="39" t="s">
        <v>14</v>
      </c>
      <c r="H9" s="32" t="s">
        <v>255</v>
      </c>
      <c r="K9" s="7" t="s">
        <v>44</v>
      </c>
      <c r="L9" s="14">
        <f>COUNTIF(F:F, "E2")</f>
        <v>19</v>
      </c>
      <c r="M9" s="11"/>
      <c r="N9" s="14" t="s">
        <v>196</v>
      </c>
      <c r="O9" s="14">
        <v>5</v>
      </c>
      <c r="P9" s="11"/>
      <c r="Q9" s="14" t="s">
        <v>94</v>
      </c>
      <c r="R9" s="14">
        <v>8</v>
      </c>
      <c r="T9" s="11"/>
      <c r="U9" s="11"/>
    </row>
    <row r="10" spans="1:21" ht="15.75" x14ac:dyDescent="0.25">
      <c r="A10" s="15">
        <v>5</v>
      </c>
      <c r="B10" s="17">
        <v>105404</v>
      </c>
      <c r="C10" s="3" t="s">
        <v>230</v>
      </c>
      <c r="D10" s="3" t="s">
        <v>16</v>
      </c>
      <c r="E10" s="17">
        <v>7086011730</v>
      </c>
      <c r="F10" s="15" t="s">
        <v>17</v>
      </c>
      <c r="G10" s="15" t="s">
        <v>21</v>
      </c>
      <c r="H10" s="3" t="s">
        <v>232</v>
      </c>
      <c r="K10" s="7"/>
      <c r="L10" s="14"/>
      <c r="M10" s="11"/>
      <c r="N10" s="14"/>
      <c r="O10" s="14"/>
      <c r="P10" s="11"/>
      <c r="Q10" s="14"/>
      <c r="R10" s="14"/>
      <c r="T10" s="11"/>
      <c r="U10" s="11"/>
    </row>
    <row r="11" spans="1:21" ht="15.75" x14ac:dyDescent="0.25">
      <c r="A11" s="15">
        <v>6</v>
      </c>
      <c r="B11" s="34">
        <v>105393</v>
      </c>
      <c r="C11" s="3" t="s">
        <v>229</v>
      </c>
      <c r="D11" s="3" t="s">
        <v>16</v>
      </c>
      <c r="E11" s="17">
        <v>9410397126</v>
      </c>
      <c r="F11" s="15" t="s">
        <v>17</v>
      </c>
      <c r="G11" s="15" t="s">
        <v>21</v>
      </c>
      <c r="H11" s="3" t="s">
        <v>231</v>
      </c>
      <c r="K11" s="2" t="s">
        <v>49</v>
      </c>
      <c r="L11" s="14">
        <f>COUNTIF(F:F, "E1")</f>
        <v>21</v>
      </c>
      <c r="M11" s="11"/>
      <c r="N11" s="14" t="s">
        <v>197</v>
      </c>
      <c r="O11" s="14">
        <v>3</v>
      </c>
      <c r="P11" s="11"/>
      <c r="Q11" s="14" t="s">
        <v>96</v>
      </c>
      <c r="R11" s="14">
        <v>6</v>
      </c>
    </row>
    <row r="12" spans="1:21" ht="15.75" x14ac:dyDescent="0.25">
      <c r="A12" s="15">
        <v>7</v>
      </c>
      <c r="B12" s="34">
        <v>70576</v>
      </c>
      <c r="C12" s="3" t="s">
        <v>203</v>
      </c>
      <c r="D12" s="3" t="s">
        <v>16</v>
      </c>
      <c r="E12" s="17" t="s">
        <v>204</v>
      </c>
      <c r="F12" s="15" t="s">
        <v>17</v>
      </c>
      <c r="G12" s="15" t="s">
        <v>21</v>
      </c>
      <c r="H12" s="2" t="s">
        <v>205</v>
      </c>
      <c r="K12" s="2" t="s">
        <v>53</v>
      </c>
      <c r="L12" s="14">
        <f>COUNTIF(F:F, "E0")</f>
        <v>8</v>
      </c>
      <c r="M12" s="11"/>
      <c r="N12" s="14" t="s">
        <v>200</v>
      </c>
      <c r="O12" s="14">
        <v>2</v>
      </c>
      <c r="P12" s="11"/>
      <c r="Q12" s="14" t="s">
        <v>104</v>
      </c>
      <c r="R12" s="14">
        <v>7</v>
      </c>
    </row>
    <row r="13" spans="1:21" ht="15.75" x14ac:dyDescent="0.25">
      <c r="A13" s="15">
        <v>8</v>
      </c>
      <c r="B13" s="34">
        <v>61369</v>
      </c>
      <c r="C13" s="3" t="s">
        <v>18</v>
      </c>
      <c r="D13" s="3" t="s">
        <v>19</v>
      </c>
      <c r="E13" s="17">
        <v>9428007254</v>
      </c>
      <c r="F13" s="15" t="s">
        <v>17</v>
      </c>
      <c r="G13" s="15"/>
      <c r="H13" s="2" t="s">
        <v>35</v>
      </c>
      <c r="K13" s="2" t="s">
        <v>190</v>
      </c>
      <c r="L13" s="14">
        <v>28</v>
      </c>
      <c r="M13" s="11"/>
      <c r="N13" s="14" t="s">
        <v>198</v>
      </c>
      <c r="O13" s="14">
        <v>1</v>
      </c>
      <c r="P13" s="11"/>
      <c r="Q13" s="14" t="s">
        <v>113</v>
      </c>
      <c r="R13" s="14">
        <v>8</v>
      </c>
    </row>
    <row r="14" spans="1:21" ht="15.75" x14ac:dyDescent="0.25">
      <c r="A14" s="15">
        <v>9</v>
      </c>
      <c r="B14" s="34">
        <v>121738</v>
      </c>
      <c r="C14" s="3" t="s">
        <v>22</v>
      </c>
      <c r="D14" s="3" t="s">
        <v>16</v>
      </c>
      <c r="E14" s="17">
        <v>7710092567</v>
      </c>
      <c r="F14" s="15" t="s">
        <v>17</v>
      </c>
      <c r="G14" s="15" t="s">
        <v>21</v>
      </c>
      <c r="H14" s="5" t="s">
        <v>256</v>
      </c>
      <c r="M14" s="11"/>
      <c r="N14" s="14" t="s">
        <v>199</v>
      </c>
      <c r="O14" s="14">
        <v>1</v>
      </c>
      <c r="P14" s="11"/>
      <c r="Q14" s="14" t="s">
        <v>170</v>
      </c>
      <c r="R14" s="14">
        <v>36</v>
      </c>
    </row>
    <row r="15" spans="1:21" ht="15.75" x14ac:dyDescent="0.25">
      <c r="A15" s="15">
        <v>10</v>
      </c>
      <c r="B15" s="34">
        <v>125408</v>
      </c>
      <c r="C15" s="3" t="s">
        <v>23</v>
      </c>
      <c r="D15" s="3" t="s">
        <v>24</v>
      </c>
      <c r="E15" s="17">
        <v>9410390385</v>
      </c>
      <c r="F15" s="15" t="s">
        <v>25</v>
      </c>
      <c r="G15" s="15" t="s">
        <v>21</v>
      </c>
      <c r="H15" s="5" t="s">
        <v>257</v>
      </c>
      <c r="M15" s="11"/>
      <c r="N15" s="10"/>
      <c r="O15" s="10"/>
      <c r="P15" s="11"/>
      <c r="Q15" s="14" t="s">
        <v>187</v>
      </c>
      <c r="R15" s="14">
        <v>12</v>
      </c>
    </row>
    <row r="16" spans="1:21" ht="15.75" x14ac:dyDescent="0.25">
      <c r="A16" s="15">
        <v>11</v>
      </c>
      <c r="B16" s="34">
        <v>132299</v>
      </c>
      <c r="C16" s="3" t="s">
        <v>26</v>
      </c>
      <c r="D16" s="3" t="s">
        <v>24</v>
      </c>
      <c r="E16" s="21">
        <v>7042318112</v>
      </c>
      <c r="F16" s="15" t="s">
        <v>25</v>
      </c>
      <c r="G16" s="15"/>
      <c r="H16" s="5" t="s">
        <v>36</v>
      </c>
      <c r="K16" s="11"/>
      <c r="L16" s="10"/>
      <c r="M16" s="11"/>
      <c r="N16" s="10"/>
      <c r="O16" s="10"/>
      <c r="P16" s="11"/>
      <c r="Q16" s="10"/>
      <c r="R16" s="10"/>
    </row>
    <row r="17" spans="1:18" ht="15.75" x14ac:dyDescent="0.25">
      <c r="A17" s="15">
        <v>12</v>
      </c>
      <c r="B17" s="34">
        <v>133507</v>
      </c>
      <c r="C17" s="3" t="s">
        <v>214</v>
      </c>
      <c r="D17" s="3" t="s">
        <v>24</v>
      </c>
      <c r="E17" s="21">
        <v>7710091768</v>
      </c>
      <c r="F17" s="15" t="s">
        <v>25</v>
      </c>
      <c r="G17" s="15" t="s">
        <v>21</v>
      </c>
      <c r="H17" s="5" t="s">
        <v>37</v>
      </c>
      <c r="K17" s="11"/>
      <c r="L17" s="11"/>
      <c r="M17" s="11"/>
      <c r="N17" s="10"/>
      <c r="O17" s="10"/>
      <c r="P17" s="11"/>
      <c r="Q17" s="10"/>
      <c r="R17" s="10"/>
    </row>
    <row r="18" spans="1:18" ht="15.75" x14ac:dyDescent="0.25">
      <c r="A18" s="15">
        <v>13</v>
      </c>
      <c r="B18" s="34">
        <v>138877</v>
      </c>
      <c r="C18" s="3" t="s">
        <v>27</v>
      </c>
      <c r="D18" s="3" t="s">
        <v>249</v>
      </c>
      <c r="E18" s="21">
        <v>6358896078</v>
      </c>
      <c r="F18" s="15" t="s">
        <v>250</v>
      </c>
      <c r="G18" s="15"/>
      <c r="H18" s="2" t="s">
        <v>251</v>
      </c>
      <c r="K18" s="11"/>
      <c r="L18" s="11"/>
      <c r="M18" s="11"/>
      <c r="P18" s="11"/>
      <c r="Q18" s="10"/>
      <c r="R18" s="10"/>
    </row>
    <row r="19" spans="1:18" ht="15.75" x14ac:dyDescent="0.25">
      <c r="A19" s="15">
        <v>14</v>
      </c>
      <c r="B19" s="34">
        <v>78074</v>
      </c>
      <c r="C19" s="3" t="s">
        <v>28</v>
      </c>
      <c r="D19" s="3" t="s">
        <v>29</v>
      </c>
      <c r="E19" s="21">
        <v>9429899195</v>
      </c>
      <c r="F19" s="15" t="s">
        <v>30</v>
      </c>
      <c r="G19" s="15"/>
      <c r="H19" s="2" t="s">
        <v>38</v>
      </c>
      <c r="K19" s="11"/>
      <c r="L19" s="11"/>
      <c r="M19" s="11"/>
      <c r="P19" s="11"/>
      <c r="Q19" s="11"/>
      <c r="R19" s="11"/>
    </row>
    <row r="20" spans="1:18" ht="15.75" x14ac:dyDescent="0.25">
      <c r="A20" s="47" t="s">
        <v>212</v>
      </c>
    </row>
    <row r="21" spans="1:18" ht="15.75" x14ac:dyDescent="0.25">
      <c r="A21" s="15">
        <v>1</v>
      </c>
      <c r="B21" s="34">
        <v>133447</v>
      </c>
      <c r="C21" s="3" t="s">
        <v>40</v>
      </c>
      <c r="D21" s="3" t="s">
        <v>24</v>
      </c>
      <c r="E21" s="5">
        <v>7574827762</v>
      </c>
      <c r="F21" s="15" t="s">
        <v>25</v>
      </c>
      <c r="G21" s="15" t="s">
        <v>21</v>
      </c>
      <c r="H21" s="4" t="s">
        <v>56</v>
      </c>
    </row>
    <row r="22" spans="1:18" ht="15.75" x14ac:dyDescent="0.25">
      <c r="A22" s="15">
        <v>2</v>
      </c>
      <c r="B22" s="34">
        <v>61366</v>
      </c>
      <c r="C22" s="3" t="s">
        <v>41</v>
      </c>
      <c r="D22" s="3" t="s">
        <v>220</v>
      </c>
      <c r="E22" s="5">
        <v>9428007911</v>
      </c>
      <c r="F22" s="15" t="s">
        <v>17</v>
      </c>
      <c r="G22" s="14"/>
      <c r="H22" s="2" t="s">
        <v>57</v>
      </c>
    </row>
    <row r="23" spans="1:18" ht="15.75" x14ac:dyDescent="0.25">
      <c r="A23" s="15">
        <v>3</v>
      </c>
      <c r="B23" s="34">
        <v>134072</v>
      </c>
      <c r="C23" s="3" t="s">
        <v>43</v>
      </c>
      <c r="D23" s="3" t="s">
        <v>24</v>
      </c>
      <c r="E23" s="8">
        <v>7993358978</v>
      </c>
      <c r="F23" s="15" t="s">
        <v>25</v>
      </c>
      <c r="G23" s="14"/>
      <c r="H23" s="2" t="s">
        <v>58</v>
      </c>
    </row>
    <row r="24" spans="1:18" ht="15.75" x14ac:dyDescent="0.25">
      <c r="A24" s="15">
        <v>4</v>
      </c>
      <c r="B24" s="34">
        <v>137127</v>
      </c>
      <c r="C24" s="3" t="s">
        <v>46</v>
      </c>
      <c r="D24" s="3" t="s">
        <v>31</v>
      </c>
      <c r="E24" s="8">
        <v>7574827834</v>
      </c>
      <c r="F24" s="15" t="s">
        <v>44</v>
      </c>
      <c r="G24" s="14"/>
      <c r="H24" s="2" t="s">
        <v>58</v>
      </c>
    </row>
    <row r="25" spans="1:18" ht="15.75" x14ac:dyDescent="0.25">
      <c r="A25" s="15">
        <v>5</v>
      </c>
      <c r="B25" s="34">
        <v>139961</v>
      </c>
      <c r="C25" s="19" t="s">
        <v>98</v>
      </c>
      <c r="D25" s="20" t="s">
        <v>69</v>
      </c>
      <c r="E25" s="7">
        <v>9428828146</v>
      </c>
      <c r="F25" s="15" t="s">
        <v>49</v>
      </c>
      <c r="G25" s="14"/>
      <c r="H25" s="2" t="s">
        <v>58</v>
      </c>
    </row>
    <row r="26" spans="1:18" ht="15.75" x14ac:dyDescent="0.25">
      <c r="A26" s="15">
        <v>6</v>
      </c>
      <c r="B26" s="34">
        <v>140467</v>
      </c>
      <c r="C26" s="3" t="s">
        <v>47</v>
      </c>
      <c r="D26" s="3" t="s">
        <v>258</v>
      </c>
      <c r="E26" s="8">
        <v>6358896045</v>
      </c>
      <c r="F26" s="15" t="s">
        <v>49</v>
      </c>
      <c r="G26" s="14"/>
      <c r="H26" s="2" t="s">
        <v>58</v>
      </c>
    </row>
    <row r="27" spans="1:18" ht="15.75" x14ac:dyDescent="0.25">
      <c r="A27" s="15">
        <v>7</v>
      </c>
      <c r="B27" s="34">
        <v>140626</v>
      </c>
      <c r="C27" s="3" t="s">
        <v>50</v>
      </c>
      <c r="D27" s="3" t="s">
        <v>48</v>
      </c>
      <c r="E27" s="8">
        <v>6358897077</v>
      </c>
      <c r="F27" s="15" t="s">
        <v>49</v>
      </c>
      <c r="G27" s="14"/>
      <c r="H27" s="2" t="s">
        <v>58</v>
      </c>
    </row>
    <row r="28" spans="1:18" ht="15.75" x14ac:dyDescent="0.25">
      <c r="A28" s="15">
        <v>8</v>
      </c>
      <c r="B28" s="34">
        <v>120716</v>
      </c>
      <c r="C28" s="7" t="s">
        <v>51</v>
      </c>
      <c r="D28" s="3" t="s">
        <v>52</v>
      </c>
      <c r="E28" s="8">
        <v>9428828428</v>
      </c>
      <c r="F28" s="15" t="s">
        <v>53</v>
      </c>
      <c r="G28" s="14"/>
      <c r="H28" s="2" t="s">
        <v>58</v>
      </c>
    </row>
    <row r="29" spans="1:18" ht="15.75" x14ac:dyDescent="0.25">
      <c r="A29" s="15">
        <v>9</v>
      </c>
      <c r="B29" s="34">
        <v>130876</v>
      </c>
      <c r="C29" s="7" t="s">
        <v>54</v>
      </c>
      <c r="D29" s="7" t="s">
        <v>221</v>
      </c>
      <c r="E29" s="8">
        <v>9428007941</v>
      </c>
      <c r="F29" s="15" t="s">
        <v>222</v>
      </c>
      <c r="G29" s="14"/>
      <c r="H29" s="2" t="s">
        <v>57</v>
      </c>
    </row>
    <row r="30" spans="1:18" ht="15.75" x14ac:dyDescent="0.25">
      <c r="A30" s="47" t="s">
        <v>211</v>
      </c>
      <c r="B30" s="18"/>
      <c r="C30" s="6"/>
      <c r="D30" s="6"/>
      <c r="E30" s="7"/>
      <c r="F30" s="18"/>
      <c r="G30" s="14"/>
      <c r="H30" s="7"/>
    </row>
    <row r="31" spans="1:18" ht="15.75" x14ac:dyDescent="0.25">
      <c r="A31" s="15">
        <v>1</v>
      </c>
      <c r="B31" s="34">
        <v>134418</v>
      </c>
      <c r="C31" s="3" t="s">
        <v>60</v>
      </c>
      <c r="D31" s="3" t="s">
        <v>24</v>
      </c>
      <c r="E31" s="17">
        <v>7574827781</v>
      </c>
      <c r="F31" s="15" t="s">
        <v>25</v>
      </c>
      <c r="G31" s="15" t="s">
        <v>21</v>
      </c>
      <c r="H31" s="4" t="s">
        <v>78</v>
      </c>
    </row>
    <row r="32" spans="1:18" ht="15.75" x14ac:dyDescent="0.25">
      <c r="A32" s="15">
        <v>2</v>
      </c>
      <c r="B32" s="34">
        <v>77741</v>
      </c>
      <c r="C32" s="3" t="s">
        <v>62</v>
      </c>
      <c r="D32" s="3" t="s">
        <v>63</v>
      </c>
      <c r="E32" s="17">
        <v>9428828198</v>
      </c>
      <c r="F32" s="15" t="s">
        <v>44</v>
      </c>
      <c r="G32" s="14"/>
      <c r="H32" s="2" t="s">
        <v>79</v>
      </c>
    </row>
    <row r="33" spans="1:13" ht="15.75" x14ac:dyDescent="0.25">
      <c r="A33" s="15">
        <v>3</v>
      </c>
      <c r="B33" s="34">
        <v>135749</v>
      </c>
      <c r="C33" s="3" t="s">
        <v>64</v>
      </c>
      <c r="D33" s="3" t="s">
        <v>61</v>
      </c>
      <c r="E33" s="17">
        <v>7574827808</v>
      </c>
      <c r="F33" s="15" t="s">
        <v>44</v>
      </c>
      <c r="G33" s="14"/>
      <c r="H33" s="2" t="s">
        <v>58</v>
      </c>
    </row>
    <row r="34" spans="1:13" ht="15.75" x14ac:dyDescent="0.25">
      <c r="A34" s="15">
        <v>4</v>
      </c>
      <c r="B34" s="34">
        <v>137255</v>
      </c>
      <c r="C34" s="3" t="s">
        <v>66</v>
      </c>
      <c r="D34" s="3" t="s">
        <v>61</v>
      </c>
      <c r="E34" s="17">
        <v>8006562004</v>
      </c>
      <c r="F34" s="15" t="s">
        <v>44</v>
      </c>
      <c r="G34" s="14"/>
      <c r="H34" s="2" t="s">
        <v>58</v>
      </c>
    </row>
    <row r="35" spans="1:13" ht="15.75" x14ac:dyDescent="0.25">
      <c r="A35" s="15">
        <v>5</v>
      </c>
      <c r="B35" s="34">
        <v>138300</v>
      </c>
      <c r="C35" s="3" t="s">
        <v>67</v>
      </c>
      <c r="D35" s="3" t="s">
        <v>61</v>
      </c>
      <c r="E35" s="17">
        <v>7574827848</v>
      </c>
      <c r="F35" s="15" t="s">
        <v>44</v>
      </c>
      <c r="G35" s="14"/>
      <c r="H35" s="2" t="s">
        <v>58</v>
      </c>
    </row>
    <row r="36" spans="1:13" ht="15.75" x14ac:dyDescent="0.25">
      <c r="A36" s="15">
        <v>6</v>
      </c>
      <c r="B36" s="34">
        <v>140473</v>
      </c>
      <c r="C36" s="3" t="s">
        <v>107</v>
      </c>
      <c r="D36" s="3" t="s">
        <v>69</v>
      </c>
      <c r="E36" s="7">
        <v>6358896026</v>
      </c>
      <c r="F36" s="15" t="s">
        <v>49</v>
      </c>
      <c r="G36" s="14"/>
      <c r="H36" s="2" t="s">
        <v>58</v>
      </c>
    </row>
    <row r="37" spans="1:13" ht="15.75" x14ac:dyDescent="0.25">
      <c r="A37" s="15">
        <v>7</v>
      </c>
      <c r="B37" s="34">
        <v>130918</v>
      </c>
      <c r="C37" s="3" t="s">
        <v>70</v>
      </c>
      <c r="D37" s="3" t="s">
        <v>71</v>
      </c>
      <c r="E37" s="14" t="s">
        <v>76</v>
      </c>
      <c r="F37" s="15" t="s">
        <v>53</v>
      </c>
      <c r="G37" s="14"/>
      <c r="H37" s="2" t="s">
        <v>58</v>
      </c>
    </row>
    <row r="38" spans="1:13" ht="15.75" x14ac:dyDescent="0.25">
      <c r="A38" s="15">
        <v>8</v>
      </c>
      <c r="B38" s="37">
        <v>130947</v>
      </c>
      <c r="C38" s="7" t="s">
        <v>72</v>
      </c>
      <c r="D38" s="7" t="s">
        <v>226</v>
      </c>
      <c r="E38" s="14" t="s">
        <v>77</v>
      </c>
      <c r="F38" s="14" t="s">
        <v>222</v>
      </c>
      <c r="G38" s="14"/>
      <c r="H38" s="2" t="s">
        <v>57</v>
      </c>
    </row>
    <row r="39" spans="1:13" ht="15.75" x14ac:dyDescent="0.25">
      <c r="A39" s="15">
        <v>9</v>
      </c>
      <c r="B39" s="34">
        <v>140390</v>
      </c>
      <c r="C39" s="3" t="s">
        <v>73</v>
      </c>
      <c r="D39" s="3" t="s">
        <v>74</v>
      </c>
      <c r="E39" s="17">
        <v>6358896023</v>
      </c>
      <c r="F39" s="15" t="s">
        <v>75</v>
      </c>
      <c r="G39" s="14"/>
      <c r="H39" s="2" t="s">
        <v>58</v>
      </c>
    </row>
    <row r="40" spans="1:13" ht="15.75" x14ac:dyDescent="0.25">
      <c r="A40" s="47" t="s">
        <v>80</v>
      </c>
      <c r="B40" s="18"/>
      <c r="C40" s="6"/>
      <c r="D40" s="6"/>
      <c r="E40" s="7"/>
      <c r="F40" s="18"/>
      <c r="G40" s="14"/>
      <c r="H40" s="7"/>
      <c r="J40" t="s">
        <v>201</v>
      </c>
    </row>
    <row r="41" spans="1:13" ht="15.75" x14ac:dyDescent="0.25">
      <c r="A41" s="15">
        <v>1</v>
      </c>
      <c r="B41" s="34">
        <v>134664</v>
      </c>
      <c r="C41" s="3" t="s">
        <v>81</v>
      </c>
      <c r="D41" s="3" t="s">
        <v>61</v>
      </c>
      <c r="E41" s="8">
        <v>9410396612</v>
      </c>
      <c r="F41" s="15" t="s">
        <v>44</v>
      </c>
      <c r="G41" s="15" t="s">
        <v>21</v>
      </c>
      <c r="H41" s="4" t="s">
        <v>123</v>
      </c>
      <c r="J41" t="s">
        <v>39</v>
      </c>
      <c r="K41">
        <v>9</v>
      </c>
      <c r="L41">
        <v>9</v>
      </c>
      <c r="M41">
        <f>K41-L41</f>
        <v>0</v>
      </c>
    </row>
    <row r="42" spans="1:13" ht="15.75" x14ac:dyDescent="0.25">
      <c r="A42" s="47" t="s">
        <v>86</v>
      </c>
      <c r="B42" s="18"/>
      <c r="C42" s="6"/>
      <c r="D42" s="6"/>
      <c r="E42" s="7"/>
      <c r="F42" s="18"/>
      <c r="G42" s="14"/>
      <c r="H42" s="7"/>
      <c r="J42" t="s">
        <v>59</v>
      </c>
      <c r="K42">
        <v>7</v>
      </c>
      <c r="L42">
        <v>7</v>
      </c>
      <c r="M42">
        <f t="shared" ref="M42:M50" si="0">K42-L42</f>
        <v>0</v>
      </c>
    </row>
    <row r="43" spans="1:13" ht="15.75" x14ac:dyDescent="0.25">
      <c r="A43" s="15">
        <v>1</v>
      </c>
      <c r="B43" s="34">
        <v>134521</v>
      </c>
      <c r="C43" s="3" t="s">
        <v>87</v>
      </c>
      <c r="D43" s="3" t="s">
        <v>24</v>
      </c>
      <c r="E43" s="17">
        <v>7574827788</v>
      </c>
      <c r="F43" s="15" t="s">
        <v>25</v>
      </c>
      <c r="G43" s="15" t="s">
        <v>21</v>
      </c>
      <c r="H43" s="4" t="s">
        <v>124</v>
      </c>
      <c r="J43" t="s">
        <v>80</v>
      </c>
      <c r="K43">
        <v>8</v>
      </c>
      <c r="L43">
        <v>7</v>
      </c>
      <c r="M43">
        <f t="shared" si="0"/>
        <v>1</v>
      </c>
    </row>
    <row r="44" spans="1:13" ht="15.75" x14ac:dyDescent="0.25">
      <c r="A44" s="15">
        <v>2</v>
      </c>
      <c r="B44" s="34">
        <v>61371</v>
      </c>
      <c r="C44" s="3" t="s">
        <v>88</v>
      </c>
      <c r="D44" s="3" t="s">
        <v>42</v>
      </c>
      <c r="E44" s="17">
        <v>9428828150</v>
      </c>
      <c r="F44" s="15" t="s">
        <v>25</v>
      </c>
      <c r="G44" s="14"/>
      <c r="H44" s="2" t="s">
        <v>57</v>
      </c>
      <c r="J44" t="s">
        <v>86</v>
      </c>
      <c r="K44">
        <v>4</v>
      </c>
      <c r="L44">
        <v>3</v>
      </c>
      <c r="M44">
        <f t="shared" si="0"/>
        <v>1</v>
      </c>
    </row>
    <row r="45" spans="1:13" ht="15.75" x14ac:dyDescent="0.25">
      <c r="A45" s="15">
        <v>3</v>
      </c>
      <c r="B45" s="34">
        <v>135757</v>
      </c>
      <c r="C45" s="3" t="s">
        <v>106</v>
      </c>
      <c r="D45" s="3" t="s">
        <v>31</v>
      </c>
      <c r="E45" s="14">
        <v>7574827806</v>
      </c>
      <c r="F45" s="15" t="s">
        <v>44</v>
      </c>
      <c r="G45" s="14"/>
      <c r="H45" s="2" t="s">
        <v>58</v>
      </c>
      <c r="J45" t="s">
        <v>94</v>
      </c>
      <c r="K45">
        <v>6</v>
      </c>
      <c r="L45">
        <v>6</v>
      </c>
      <c r="M45">
        <f t="shared" si="0"/>
        <v>0</v>
      </c>
    </row>
    <row r="46" spans="1:13" ht="22.5" customHeight="1" x14ac:dyDescent="0.25">
      <c r="A46" s="15">
        <v>4</v>
      </c>
      <c r="B46" s="34">
        <v>136462</v>
      </c>
      <c r="C46" s="3" t="s">
        <v>89</v>
      </c>
      <c r="D46" s="3" t="s">
        <v>61</v>
      </c>
      <c r="E46" s="17">
        <v>7574827824</v>
      </c>
      <c r="F46" s="15" t="s">
        <v>44</v>
      </c>
      <c r="G46" s="14"/>
      <c r="H46" s="2" t="s">
        <v>58</v>
      </c>
      <c r="J46" t="s">
        <v>96</v>
      </c>
      <c r="K46">
        <v>2</v>
      </c>
      <c r="L46">
        <v>2</v>
      </c>
      <c r="M46">
        <f t="shared" si="0"/>
        <v>0</v>
      </c>
    </row>
    <row r="47" spans="1:13" ht="15.75" x14ac:dyDescent="0.25">
      <c r="A47" s="15">
        <v>5</v>
      </c>
      <c r="B47" s="34">
        <v>138298</v>
      </c>
      <c r="C47" s="3" t="s">
        <v>90</v>
      </c>
      <c r="D47" s="3" t="s">
        <v>61</v>
      </c>
      <c r="E47" s="17">
        <v>7574827846</v>
      </c>
      <c r="F47" s="15" t="s">
        <v>44</v>
      </c>
      <c r="G47" s="14"/>
      <c r="H47" s="2" t="s">
        <v>58</v>
      </c>
      <c r="J47" t="s">
        <v>104</v>
      </c>
      <c r="K47">
        <v>4</v>
      </c>
      <c r="L47">
        <v>3</v>
      </c>
      <c r="M47">
        <f t="shared" si="0"/>
        <v>1</v>
      </c>
    </row>
    <row r="48" spans="1:13" ht="15.75" x14ac:dyDescent="0.25">
      <c r="A48" s="15">
        <v>6</v>
      </c>
      <c r="B48" s="34">
        <v>140833</v>
      </c>
      <c r="C48" s="3" t="s">
        <v>91</v>
      </c>
      <c r="D48" s="3" t="s">
        <v>69</v>
      </c>
      <c r="E48" s="17">
        <v>6358897087</v>
      </c>
      <c r="F48" s="15" t="s">
        <v>49</v>
      </c>
      <c r="G48" s="14"/>
      <c r="H48" s="2" t="s">
        <v>58</v>
      </c>
      <c r="K48">
        <v>5</v>
      </c>
      <c r="L48">
        <v>4</v>
      </c>
      <c r="M48">
        <f t="shared" si="0"/>
        <v>1</v>
      </c>
    </row>
    <row r="49" spans="1:13" ht="15.75" x14ac:dyDescent="0.25">
      <c r="A49" s="15">
        <v>7</v>
      </c>
      <c r="B49" s="34">
        <v>73789</v>
      </c>
      <c r="C49" s="3" t="s">
        <v>206</v>
      </c>
      <c r="D49" s="3" t="s">
        <v>69</v>
      </c>
      <c r="E49" s="17" t="s">
        <v>207</v>
      </c>
      <c r="F49" s="15" t="s">
        <v>49</v>
      </c>
      <c r="G49" s="14"/>
      <c r="H49" s="2" t="s">
        <v>58</v>
      </c>
      <c r="J49" t="s">
        <v>113</v>
      </c>
      <c r="K49">
        <v>6</v>
      </c>
      <c r="L49">
        <v>5</v>
      </c>
      <c r="M49">
        <f t="shared" si="0"/>
        <v>1</v>
      </c>
    </row>
    <row r="50" spans="1:13" ht="15.75" x14ac:dyDescent="0.25">
      <c r="A50" s="15">
        <v>8</v>
      </c>
      <c r="B50" s="34">
        <v>121041</v>
      </c>
      <c r="C50" s="3" t="s">
        <v>92</v>
      </c>
      <c r="D50" s="3" t="s">
        <v>71</v>
      </c>
      <c r="E50" s="17">
        <v>9428828434</v>
      </c>
      <c r="F50" s="15" t="s">
        <v>53</v>
      </c>
      <c r="G50" s="14"/>
      <c r="H50" s="2" t="s">
        <v>58</v>
      </c>
      <c r="J50" t="s">
        <v>170</v>
      </c>
      <c r="K50">
        <v>17</v>
      </c>
      <c r="L50">
        <v>17</v>
      </c>
      <c r="M50">
        <f t="shared" si="0"/>
        <v>0</v>
      </c>
    </row>
    <row r="51" spans="1:13" ht="15.75" x14ac:dyDescent="0.25">
      <c r="A51" s="15">
        <v>9</v>
      </c>
      <c r="B51" s="34">
        <v>130919</v>
      </c>
      <c r="C51" s="3" t="s">
        <v>93</v>
      </c>
      <c r="D51" s="3" t="s">
        <v>224</v>
      </c>
      <c r="E51" s="17">
        <v>9428007352</v>
      </c>
      <c r="F51" s="15" t="s">
        <v>222</v>
      </c>
      <c r="G51" s="14"/>
      <c r="H51" s="2" t="s">
        <v>57</v>
      </c>
    </row>
    <row r="52" spans="1:13" ht="15.75" x14ac:dyDescent="0.25">
      <c r="A52" s="47" t="s">
        <v>94</v>
      </c>
      <c r="B52" s="18"/>
      <c r="C52" s="6"/>
      <c r="D52" s="6"/>
      <c r="E52" s="7"/>
      <c r="F52" s="18"/>
      <c r="G52" s="14"/>
      <c r="H52" s="7"/>
    </row>
    <row r="53" spans="1:13" ht="15.75" x14ac:dyDescent="0.25">
      <c r="A53" s="15">
        <v>1</v>
      </c>
      <c r="B53" s="17">
        <v>105403</v>
      </c>
      <c r="C53" s="19" t="s">
        <v>234</v>
      </c>
      <c r="D53" s="3" t="s">
        <v>223</v>
      </c>
      <c r="E53" s="17">
        <v>9410397137</v>
      </c>
      <c r="F53" s="15" t="s">
        <v>17</v>
      </c>
      <c r="G53" s="15" t="s">
        <v>21</v>
      </c>
      <c r="H53" s="4" t="s">
        <v>127</v>
      </c>
    </row>
    <row r="54" spans="1:13" ht="15.75" x14ac:dyDescent="0.25">
      <c r="A54" s="15">
        <v>2</v>
      </c>
      <c r="B54" s="17">
        <v>125217</v>
      </c>
      <c r="C54" s="19" t="s">
        <v>237</v>
      </c>
      <c r="D54" s="3" t="s">
        <v>24</v>
      </c>
      <c r="E54" s="17">
        <v>9969224157</v>
      </c>
      <c r="F54" s="15" t="s">
        <v>25</v>
      </c>
      <c r="G54" s="15"/>
      <c r="H54" s="4"/>
    </row>
    <row r="55" spans="1:13" ht="15.75" x14ac:dyDescent="0.25">
      <c r="A55" s="15">
        <v>3</v>
      </c>
      <c r="B55" s="34">
        <v>135831</v>
      </c>
      <c r="C55" s="3" t="s">
        <v>65</v>
      </c>
      <c r="D55" s="3" t="s">
        <v>61</v>
      </c>
      <c r="E55" s="17">
        <v>7574837631</v>
      </c>
      <c r="F55" s="15" t="s">
        <v>44</v>
      </c>
      <c r="G55" s="14"/>
      <c r="H55" s="2" t="s">
        <v>58</v>
      </c>
    </row>
    <row r="56" spans="1:13" ht="15.75" x14ac:dyDescent="0.25">
      <c r="A56" s="15">
        <v>4</v>
      </c>
      <c r="B56" s="34">
        <v>139147</v>
      </c>
      <c r="C56" s="3" t="s">
        <v>115</v>
      </c>
      <c r="D56" s="3" t="s">
        <v>225</v>
      </c>
      <c r="E56" s="22">
        <v>6358896109</v>
      </c>
      <c r="F56" s="15" t="s">
        <v>44</v>
      </c>
      <c r="G56" s="14"/>
      <c r="H56" s="2" t="s">
        <v>58</v>
      </c>
    </row>
    <row r="57" spans="1:13" ht="15.75" x14ac:dyDescent="0.25">
      <c r="A57" s="15">
        <v>5</v>
      </c>
      <c r="B57" s="34">
        <v>139893</v>
      </c>
      <c r="C57" s="3" t="s">
        <v>68</v>
      </c>
      <c r="D57" s="3" t="s">
        <v>69</v>
      </c>
      <c r="E57" s="17">
        <v>6358896017</v>
      </c>
      <c r="F57" s="15" t="s">
        <v>49</v>
      </c>
      <c r="G57" s="14"/>
      <c r="H57" s="2" t="s">
        <v>58</v>
      </c>
    </row>
    <row r="58" spans="1:13" ht="15.75" x14ac:dyDescent="0.25">
      <c r="A58" s="15">
        <v>6</v>
      </c>
      <c r="B58" s="10">
        <v>142043</v>
      </c>
      <c r="C58" s="11" t="s">
        <v>213</v>
      </c>
      <c r="D58" s="13" t="s">
        <v>99</v>
      </c>
      <c r="E58" s="23">
        <v>9520986913</v>
      </c>
      <c r="F58" s="15" t="s">
        <v>49</v>
      </c>
      <c r="G58" s="14"/>
      <c r="H58" s="2" t="s">
        <v>58</v>
      </c>
    </row>
    <row r="59" spans="1:13" ht="15.75" x14ac:dyDescent="0.25">
      <c r="A59" s="15">
        <v>7</v>
      </c>
      <c r="B59" s="34">
        <v>130844</v>
      </c>
      <c r="C59" s="3" t="s">
        <v>84</v>
      </c>
      <c r="D59" s="7" t="s">
        <v>226</v>
      </c>
      <c r="E59" s="17">
        <v>9428007389</v>
      </c>
      <c r="F59" s="15" t="s">
        <v>55</v>
      </c>
      <c r="G59" s="14"/>
      <c r="H59" s="2" t="s">
        <v>57</v>
      </c>
    </row>
    <row r="60" spans="1:13" ht="15.75" x14ac:dyDescent="0.25">
      <c r="A60" s="15">
        <v>8</v>
      </c>
      <c r="B60" s="34">
        <v>140484</v>
      </c>
      <c r="C60" s="3" t="s">
        <v>85</v>
      </c>
      <c r="D60" s="3" t="s">
        <v>74</v>
      </c>
      <c r="E60" s="17">
        <v>6358896035</v>
      </c>
      <c r="F60" s="15" t="s">
        <v>75</v>
      </c>
      <c r="G60" s="14"/>
      <c r="H60" s="2" t="s">
        <v>58</v>
      </c>
    </row>
    <row r="61" spans="1:13" ht="15.75" x14ac:dyDescent="0.25">
      <c r="A61" s="47" t="s">
        <v>96</v>
      </c>
      <c r="B61" s="18"/>
      <c r="C61" s="6"/>
      <c r="D61" s="12"/>
      <c r="E61" s="14"/>
      <c r="F61" s="18"/>
      <c r="G61" s="14"/>
      <c r="H61" s="7"/>
    </row>
    <row r="62" spans="1:13" ht="15.75" x14ac:dyDescent="0.25">
      <c r="A62" s="15">
        <v>1</v>
      </c>
      <c r="B62" s="34">
        <v>134039</v>
      </c>
      <c r="C62" s="3" t="s">
        <v>97</v>
      </c>
      <c r="D62" s="3" t="s">
        <v>24</v>
      </c>
      <c r="E62" s="22">
        <v>9116600628</v>
      </c>
      <c r="F62" s="15" t="s">
        <v>25</v>
      </c>
      <c r="G62" s="15" t="s">
        <v>21</v>
      </c>
      <c r="H62" s="4" t="s">
        <v>128</v>
      </c>
    </row>
    <row r="63" spans="1:13" ht="15.75" x14ac:dyDescent="0.25">
      <c r="A63" s="15">
        <v>2</v>
      </c>
      <c r="B63" s="34">
        <v>141325</v>
      </c>
      <c r="C63" s="3" t="s">
        <v>82</v>
      </c>
      <c r="D63" s="3" t="s">
        <v>69</v>
      </c>
      <c r="E63" s="17">
        <v>6358896422</v>
      </c>
      <c r="F63" s="15" t="s">
        <v>49</v>
      </c>
      <c r="G63" s="14"/>
      <c r="H63" s="2" t="s">
        <v>58</v>
      </c>
    </row>
    <row r="64" spans="1:13" ht="15.75" x14ac:dyDescent="0.25">
      <c r="A64" s="15">
        <v>3</v>
      </c>
      <c r="B64" s="34">
        <v>141344</v>
      </c>
      <c r="C64" s="3" t="s">
        <v>83</v>
      </c>
      <c r="D64" s="3" t="s">
        <v>69</v>
      </c>
      <c r="E64" s="17">
        <v>6358896424</v>
      </c>
      <c r="F64" s="15" t="s">
        <v>49</v>
      </c>
      <c r="G64" s="14"/>
      <c r="H64" s="2" t="s">
        <v>58</v>
      </c>
    </row>
    <row r="65" spans="1:8" ht="15.75" x14ac:dyDescent="0.25">
      <c r="A65" s="15">
        <v>4</v>
      </c>
      <c r="B65" s="34">
        <v>141329</v>
      </c>
      <c r="C65" s="3" t="s">
        <v>100</v>
      </c>
      <c r="D65" s="3" t="s">
        <v>99</v>
      </c>
      <c r="E65" s="14">
        <v>6358896423</v>
      </c>
      <c r="F65" s="15" t="s">
        <v>49</v>
      </c>
      <c r="G65" s="14"/>
      <c r="H65" s="2" t="s">
        <v>58</v>
      </c>
    </row>
    <row r="66" spans="1:8" ht="15.75" x14ac:dyDescent="0.25">
      <c r="A66" s="15">
        <v>5</v>
      </c>
      <c r="B66" s="34">
        <v>132769</v>
      </c>
      <c r="C66" s="3" t="s">
        <v>101</v>
      </c>
      <c r="D66" s="3" t="s">
        <v>102</v>
      </c>
      <c r="E66" s="14">
        <v>9429899118</v>
      </c>
      <c r="F66" s="15" t="s">
        <v>121</v>
      </c>
      <c r="G66" s="14"/>
      <c r="H66" s="2" t="s">
        <v>58</v>
      </c>
    </row>
    <row r="67" spans="1:8" ht="15.75" x14ac:dyDescent="0.25">
      <c r="A67" s="15">
        <v>6</v>
      </c>
      <c r="B67" s="34">
        <v>130945</v>
      </c>
      <c r="C67" s="3" t="s">
        <v>103</v>
      </c>
      <c r="D67" s="3" t="s">
        <v>224</v>
      </c>
      <c r="E67" s="14">
        <v>9428007192</v>
      </c>
      <c r="F67" s="15" t="s">
        <v>222</v>
      </c>
      <c r="G67" s="14"/>
      <c r="H67" s="2" t="s">
        <v>57</v>
      </c>
    </row>
    <row r="68" spans="1:8" ht="15.75" x14ac:dyDescent="0.25">
      <c r="A68" s="47" t="s">
        <v>104</v>
      </c>
      <c r="B68" s="18"/>
      <c r="C68" s="6"/>
      <c r="D68" s="6"/>
      <c r="E68" s="14"/>
      <c r="F68" s="18"/>
      <c r="G68" s="14"/>
      <c r="H68" s="7"/>
    </row>
    <row r="69" spans="1:8" ht="15.75" x14ac:dyDescent="0.25">
      <c r="A69" s="15">
        <v>1</v>
      </c>
      <c r="B69" s="34">
        <v>135827</v>
      </c>
      <c r="C69" s="3" t="s">
        <v>105</v>
      </c>
      <c r="D69" s="3" t="s">
        <v>61</v>
      </c>
      <c r="E69" s="22">
        <v>6900176747</v>
      </c>
      <c r="F69" s="15" t="s">
        <v>44</v>
      </c>
      <c r="G69" s="15" t="s">
        <v>21</v>
      </c>
      <c r="H69" s="4" t="s">
        <v>125</v>
      </c>
    </row>
    <row r="70" spans="1:8" ht="15.75" x14ac:dyDescent="0.25">
      <c r="A70" s="15">
        <v>2</v>
      </c>
      <c r="B70" s="34">
        <v>121163</v>
      </c>
      <c r="C70" s="3" t="s">
        <v>108</v>
      </c>
      <c r="D70" s="3" t="s">
        <v>99</v>
      </c>
      <c r="E70" s="14">
        <v>9445005188</v>
      </c>
      <c r="F70" s="15" t="s">
        <v>49</v>
      </c>
      <c r="G70" s="14"/>
      <c r="H70" s="2" t="s">
        <v>58</v>
      </c>
    </row>
    <row r="71" spans="1:8" ht="15.75" x14ac:dyDescent="0.25">
      <c r="A71" s="15">
        <v>3</v>
      </c>
      <c r="B71" s="34">
        <v>122913</v>
      </c>
      <c r="C71" s="3" t="s">
        <v>235</v>
      </c>
      <c r="D71" s="3" t="s">
        <v>236</v>
      </c>
      <c r="E71" s="14">
        <v>7710092361</v>
      </c>
      <c r="F71" s="15" t="s">
        <v>49</v>
      </c>
      <c r="G71" s="14"/>
      <c r="H71" s="7" t="s">
        <v>186</v>
      </c>
    </row>
    <row r="72" spans="1:8" ht="15.75" x14ac:dyDescent="0.25">
      <c r="A72" s="15">
        <v>4</v>
      </c>
      <c r="B72" s="34">
        <v>120670</v>
      </c>
      <c r="C72" s="3" t="s">
        <v>109</v>
      </c>
      <c r="D72" s="3" t="s">
        <v>215</v>
      </c>
      <c r="E72" s="14">
        <v>9428518781</v>
      </c>
      <c r="F72" s="15" t="s">
        <v>122</v>
      </c>
      <c r="G72" s="14"/>
      <c r="H72" s="2" t="s">
        <v>126</v>
      </c>
    </row>
    <row r="73" spans="1:8" ht="15.75" x14ac:dyDescent="0.25">
      <c r="A73" s="15">
        <v>5</v>
      </c>
      <c r="B73" s="34">
        <v>141402</v>
      </c>
      <c r="C73" s="3" t="s">
        <v>110</v>
      </c>
      <c r="D73" s="3" t="s">
        <v>74</v>
      </c>
      <c r="E73" s="14">
        <v>6358896425</v>
      </c>
      <c r="F73" s="15" t="s">
        <v>75</v>
      </c>
      <c r="G73" s="14"/>
      <c r="H73" s="2" t="s">
        <v>58</v>
      </c>
    </row>
    <row r="74" spans="1:8" ht="15.75" x14ac:dyDescent="0.25">
      <c r="A74" s="15">
        <v>6</v>
      </c>
      <c r="B74" s="34">
        <v>138808</v>
      </c>
      <c r="C74" s="3" t="s">
        <v>111</v>
      </c>
      <c r="D74" s="3" t="s">
        <v>252</v>
      </c>
      <c r="E74" s="14">
        <v>6358896101</v>
      </c>
      <c r="F74" s="15" t="s">
        <v>250</v>
      </c>
      <c r="G74" s="14"/>
      <c r="H74" s="2" t="s">
        <v>189</v>
      </c>
    </row>
    <row r="75" spans="1:8" ht="15.75" x14ac:dyDescent="0.25">
      <c r="A75" s="15">
        <v>7</v>
      </c>
      <c r="B75" s="34">
        <v>138815</v>
      </c>
      <c r="C75" s="3" t="s">
        <v>112</v>
      </c>
      <c r="D75" s="3" t="s">
        <v>252</v>
      </c>
      <c r="E75" s="14">
        <v>6358896102</v>
      </c>
      <c r="F75" s="15" t="s">
        <v>250</v>
      </c>
      <c r="G75" s="14"/>
      <c r="H75" s="2" t="s">
        <v>189</v>
      </c>
    </row>
    <row r="76" spans="1:8" ht="15.75" x14ac:dyDescent="0.25">
      <c r="A76" s="47" t="s">
        <v>113</v>
      </c>
      <c r="B76" s="18"/>
      <c r="C76" s="6"/>
      <c r="D76" s="6"/>
      <c r="E76" s="14"/>
      <c r="F76" s="18"/>
      <c r="G76" s="14"/>
      <c r="H76" s="7"/>
    </row>
    <row r="77" spans="1:8" ht="15.75" x14ac:dyDescent="0.25">
      <c r="A77" s="24">
        <v>1</v>
      </c>
      <c r="B77" s="24">
        <v>123807</v>
      </c>
      <c r="C77" s="25" t="s">
        <v>95</v>
      </c>
      <c r="D77" s="25" t="s">
        <v>16</v>
      </c>
      <c r="E77" s="7">
        <v>9435718933</v>
      </c>
      <c r="F77" s="18" t="s">
        <v>17</v>
      </c>
      <c r="G77" s="14" t="s">
        <v>21</v>
      </c>
      <c r="H77" s="4" t="s">
        <v>233</v>
      </c>
    </row>
    <row r="78" spans="1:8" ht="15.75" x14ac:dyDescent="0.25">
      <c r="A78" s="15">
        <v>2</v>
      </c>
      <c r="B78" s="34">
        <v>135257</v>
      </c>
      <c r="C78" s="3" t="s">
        <v>45</v>
      </c>
      <c r="D78" s="3" t="s">
        <v>31</v>
      </c>
      <c r="E78" s="8">
        <v>9428007082</v>
      </c>
      <c r="F78" s="15" t="s">
        <v>44</v>
      </c>
      <c r="G78" s="14"/>
      <c r="H78" s="2" t="s">
        <v>58</v>
      </c>
    </row>
    <row r="79" spans="1:8" ht="15.75" x14ac:dyDescent="0.25">
      <c r="A79" s="15">
        <v>3</v>
      </c>
      <c r="B79" s="34">
        <v>136461</v>
      </c>
      <c r="C79" s="3" t="s">
        <v>114</v>
      </c>
      <c r="D79" s="3" t="s">
        <v>61</v>
      </c>
      <c r="E79" s="7">
        <v>7574827825</v>
      </c>
      <c r="F79" s="15" t="s">
        <v>44</v>
      </c>
      <c r="G79" s="14"/>
      <c r="H79" s="2" t="s">
        <v>58</v>
      </c>
    </row>
    <row r="80" spans="1:8" ht="15.75" x14ac:dyDescent="0.25">
      <c r="A80" s="18">
        <v>4</v>
      </c>
      <c r="B80" s="34">
        <v>139174</v>
      </c>
      <c r="C80" s="3" t="s">
        <v>116</v>
      </c>
      <c r="D80" s="3" t="s">
        <v>225</v>
      </c>
      <c r="E80" s="7">
        <v>9695209423</v>
      </c>
      <c r="F80" s="15" t="s">
        <v>44</v>
      </c>
      <c r="G80" s="14"/>
      <c r="H80" s="2" t="s">
        <v>58</v>
      </c>
    </row>
    <row r="81" spans="1:8" ht="15.75" x14ac:dyDescent="0.25">
      <c r="A81" s="15">
        <v>5</v>
      </c>
      <c r="B81" s="34">
        <v>140629</v>
      </c>
      <c r="C81" s="3" t="s">
        <v>117</v>
      </c>
      <c r="D81" s="3" t="s">
        <v>69</v>
      </c>
      <c r="E81" s="9">
        <v>6358897080</v>
      </c>
      <c r="F81" s="15" t="s">
        <v>49</v>
      </c>
      <c r="G81" s="14"/>
      <c r="H81" s="2" t="s">
        <v>58</v>
      </c>
    </row>
    <row r="82" spans="1:8" ht="15.75" x14ac:dyDescent="0.25">
      <c r="A82" s="15">
        <v>6</v>
      </c>
      <c r="B82" s="34">
        <v>120689</v>
      </c>
      <c r="C82" s="3" t="s">
        <v>118</v>
      </c>
      <c r="D82" s="3" t="s">
        <v>71</v>
      </c>
      <c r="E82" s="7">
        <v>9428007390</v>
      </c>
      <c r="F82" s="15" t="s">
        <v>53</v>
      </c>
      <c r="G82" s="14"/>
      <c r="H82" s="2" t="s">
        <v>58</v>
      </c>
    </row>
    <row r="83" spans="1:8" ht="15.75" x14ac:dyDescent="0.25">
      <c r="A83" s="18">
        <v>7</v>
      </c>
      <c r="B83" s="37">
        <v>130866</v>
      </c>
      <c r="C83" s="7" t="s">
        <v>119</v>
      </c>
      <c r="D83" s="7" t="s">
        <v>226</v>
      </c>
      <c r="E83" s="7">
        <v>9428007204</v>
      </c>
      <c r="F83" s="14" t="s">
        <v>55</v>
      </c>
      <c r="G83" s="14"/>
      <c r="H83" s="16" t="s">
        <v>57</v>
      </c>
    </row>
    <row r="84" spans="1:8" ht="15.75" x14ac:dyDescent="0.25">
      <c r="A84" s="15">
        <v>8</v>
      </c>
      <c r="B84" s="34">
        <v>140749</v>
      </c>
      <c r="C84" s="3" t="s">
        <v>120</v>
      </c>
      <c r="D84" s="3" t="s">
        <v>74</v>
      </c>
      <c r="E84" s="7">
        <v>6358897084</v>
      </c>
      <c r="F84" s="15" t="s">
        <v>75</v>
      </c>
      <c r="G84" s="14"/>
      <c r="H84" s="2" t="s">
        <v>58</v>
      </c>
    </row>
    <row r="85" spans="1:8" ht="15.75" x14ac:dyDescent="0.25">
      <c r="A85" s="48" t="s">
        <v>170</v>
      </c>
      <c r="B85" s="34"/>
      <c r="C85" s="3"/>
      <c r="D85" s="3"/>
      <c r="E85" s="7"/>
      <c r="F85" s="15"/>
      <c r="G85" s="14"/>
      <c r="H85" s="2"/>
    </row>
    <row r="86" spans="1:8" ht="16.5" x14ac:dyDescent="0.3">
      <c r="A86" s="14">
        <v>1</v>
      </c>
      <c r="B86" s="38">
        <v>77722</v>
      </c>
      <c r="C86" s="3" t="s">
        <v>219</v>
      </c>
      <c r="D86" s="50" t="s">
        <v>209</v>
      </c>
      <c r="E86" s="7">
        <v>9968602163</v>
      </c>
      <c r="F86" s="15" t="s">
        <v>129</v>
      </c>
      <c r="G86" s="14" t="s">
        <v>14</v>
      </c>
      <c r="H86" s="2" t="s">
        <v>210</v>
      </c>
    </row>
    <row r="87" spans="1:8" ht="15.75" x14ac:dyDescent="0.25">
      <c r="A87" s="14">
        <v>2</v>
      </c>
      <c r="B87" s="37">
        <v>75323</v>
      </c>
      <c r="C87" s="7" t="s">
        <v>130</v>
      </c>
      <c r="D87" s="51" t="s">
        <v>131</v>
      </c>
      <c r="E87" s="7">
        <v>9410390038</v>
      </c>
      <c r="F87" s="14" t="s">
        <v>129</v>
      </c>
      <c r="G87" s="14" t="s">
        <v>21</v>
      </c>
      <c r="H87" s="7" t="s">
        <v>132</v>
      </c>
    </row>
    <row r="88" spans="1:8" ht="15.75" x14ac:dyDescent="0.25">
      <c r="A88" s="15">
        <v>3</v>
      </c>
      <c r="B88" s="37">
        <v>91771</v>
      </c>
      <c r="C88" s="7" t="s">
        <v>134</v>
      </c>
      <c r="D88" s="50" t="s">
        <v>133</v>
      </c>
      <c r="E88" s="7">
        <v>7042695403</v>
      </c>
      <c r="F88" s="14" t="s">
        <v>129</v>
      </c>
      <c r="G88" s="14" t="s">
        <v>21</v>
      </c>
      <c r="H88" s="7" t="s">
        <v>218</v>
      </c>
    </row>
    <row r="89" spans="1:8" ht="15.75" x14ac:dyDescent="0.25">
      <c r="A89" s="15">
        <v>4</v>
      </c>
      <c r="B89" s="37">
        <v>95724</v>
      </c>
      <c r="C89" s="7" t="s">
        <v>136</v>
      </c>
      <c r="D89" s="50" t="s">
        <v>137</v>
      </c>
      <c r="E89" s="7">
        <v>9410390016</v>
      </c>
      <c r="F89" s="14" t="s">
        <v>13</v>
      </c>
      <c r="G89" s="14"/>
      <c r="H89" s="7" t="s">
        <v>135</v>
      </c>
    </row>
    <row r="90" spans="1:8" ht="15.75" x14ac:dyDescent="0.25">
      <c r="A90" s="14">
        <v>5</v>
      </c>
      <c r="B90" s="37">
        <v>96880</v>
      </c>
      <c r="C90" s="7" t="s">
        <v>216</v>
      </c>
      <c r="D90" s="50" t="s">
        <v>137</v>
      </c>
      <c r="E90" s="7">
        <v>9969224728</v>
      </c>
      <c r="F90" s="14" t="s">
        <v>13</v>
      </c>
      <c r="G90" s="14"/>
      <c r="H90" s="7" t="s">
        <v>135</v>
      </c>
    </row>
    <row r="91" spans="1:8" ht="15.75" x14ac:dyDescent="0.25">
      <c r="A91" s="14">
        <v>6</v>
      </c>
      <c r="B91" s="37">
        <v>105079</v>
      </c>
      <c r="C91" s="7" t="s">
        <v>188</v>
      </c>
      <c r="D91" s="50" t="s">
        <v>138</v>
      </c>
      <c r="E91" s="7">
        <v>9410390011</v>
      </c>
      <c r="F91" s="14" t="s">
        <v>13</v>
      </c>
      <c r="G91" s="14" t="s">
        <v>21</v>
      </c>
      <c r="H91" s="7" t="s">
        <v>217</v>
      </c>
    </row>
    <row r="92" spans="1:8" ht="15.75" x14ac:dyDescent="0.25">
      <c r="A92" s="14">
        <v>7</v>
      </c>
      <c r="B92" s="14">
        <v>73781</v>
      </c>
      <c r="C92" s="7" t="s">
        <v>239</v>
      </c>
      <c r="D92" s="50" t="s">
        <v>240</v>
      </c>
      <c r="E92" s="7">
        <v>7710092269</v>
      </c>
      <c r="F92" s="14" t="s">
        <v>13</v>
      </c>
      <c r="G92" s="14"/>
      <c r="H92" s="7" t="s">
        <v>140</v>
      </c>
    </row>
    <row r="93" spans="1:8" ht="15.75" x14ac:dyDescent="0.25">
      <c r="A93" s="15">
        <v>8</v>
      </c>
      <c r="B93" s="14">
        <v>96822</v>
      </c>
      <c r="C93" s="7" t="s">
        <v>139</v>
      </c>
      <c r="D93" s="50" t="s">
        <v>16</v>
      </c>
      <c r="E93" s="7">
        <v>9435718378</v>
      </c>
      <c r="F93" s="14" t="s">
        <v>17</v>
      </c>
      <c r="G93" s="14"/>
      <c r="H93" s="7" t="s">
        <v>140</v>
      </c>
    </row>
    <row r="94" spans="1:8" ht="15.75" x14ac:dyDescent="0.25">
      <c r="A94" s="15">
        <v>9</v>
      </c>
      <c r="B94" s="14">
        <v>105366</v>
      </c>
      <c r="C94" s="7" t="s">
        <v>241</v>
      </c>
      <c r="D94" s="50" t="s">
        <v>242</v>
      </c>
      <c r="E94" s="7">
        <v>9968282782</v>
      </c>
      <c r="F94" s="14"/>
      <c r="G94" s="14"/>
      <c r="H94" s="7" t="s">
        <v>140</v>
      </c>
    </row>
    <row r="95" spans="1:8" ht="15.75" x14ac:dyDescent="0.25">
      <c r="A95" s="14">
        <v>10</v>
      </c>
      <c r="B95" s="14">
        <v>105567</v>
      </c>
      <c r="C95" s="7" t="s">
        <v>238</v>
      </c>
      <c r="D95" s="50" t="s">
        <v>16</v>
      </c>
      <c r="E95" s="7">
        <v>9432020236</v>
      </c>
      <c r="F95" s="14" t="s">
        <v>17</v>
      </c>
      <c r="G95" s="14"/>
      <c r="H95" s="7" t="s">
        <v>140</v>
      </c>
    </row>
    <row r="96" spans="1:8" ht="15.75" x14ac:dyDescent="0.25">
      <c r="A96" s="14">
        <v>11</v>
      </c>
      <c r="B96" s="37">
        <v>106172</v>
      </c>
      <c r="C96" s="7" t="s">
        <v>141</v>
      </c>
      <c r="D96" s="50" t="s">
        <v>16</v>
      </c>
      <c r="E96" s="7">
        <v>9435718153</v>
      </c>
      <c r="F96" s="14" t="s">
        <v>17</v>
      </c>
      <c r="G96" s="14" t="s">
        <v>21</v>
      </c>
      <c r="H96" s="7" t="s">
        <v>142</v>
      </c>
    </row>
    <row r="97" spans="1:8" ht="15.75" x14ac:dyDescent="0.25">
      <c r="A97" s="14">
        <v>12</v>
      </c>
      <c r="B97" s="37">
        <v>105391</v>
      </c>
      <c r="C97" s="7" t="s">
        <v>143</v>
      </c>
      <c r="D97" s="50" t="s">
        <v>16</v>
      </c>
      <c r="E97" s="7">
        <v>9969224539</v>
      </c>
      <c r="F97" s="14" t="s">
        <v>17</v>
      </c>
      <c r="G97" s="14" t="s">
        <v>21</v>
      </c>
      <c r="H97" s="7" t="s">
        <v>144</v>
      </c>
    </row>
    <row r="98" spans="1:8" ht="15.75" x14ac:dyDescent="0.25">
      <c r="A98" s="15">
        <v>13</v>
      </c>
      <c r="B98" s="37">
        <v>82611</v>
      </c>
      <c r="C98" s="7" t="s">
        <v>145</v>
      </c>
      <c r="D98" s="50" t="s">
        <v>146</v>
      </c>
      <c r="E98" s="7">
        <v>9410390049</v>
      </c>
      <c r="F98" s="14" t="s">
        <v>17</v>
      </c>
      <c r="G98" s="14"/>
      <c r="H98" s="7" t="s">
        <v>135</v>
      </c>
    </row>
    <row r="99" spans="1:8" ht="15.75" x14ac:dyDescent="0.25">
      <c r="A99" s="15">
        <v>14</v>
      </c>
      <c r="B99" s="37">
        <v>121927</v>
      </c>
      <c r="C99" s="7" t="s">
        <v>243</v>
      </c>
      <c r="D99" s="50" t="s">
        <v>16</v>
      </c>
      <c r="E99" s="7">
        <v>9491069152</v>
      </c>
      <c r="F99" s="14" t="s">
        <v>17</v>
      </c>
      <c r="G99" s="14"/>
      <c r="H99" s="7" t="s">
        <v>140</v>
      </c>
    </row>
    <row r="100" spans="1:8" ht="15.75" x14ac:dyDescent="0.25">
      <c r="A100" s="14">
        <v>15</v>
      </c>
      <c r="B100" s="37">
        <v>123178</v>
      </c>
      <c r="C100" s="7" t="s">
        <v>147</v>
      </c>
      <c r="D100" s="50" t="s">
        <v>24</v>
      </c>
      <c r="E100" s="7">
        <v>9969224161</v>
      </c>
      <c r="F100" s="14" t="s">
        <v>25</v>
      </c>
      <c r="G100" s="14"/>
      <c r="H100" s="7" t="s">
        <v>140</v>
      </c>
    </row>
    <row r="101" spans="1:8" ht="15.75" x14ac:dyDescent="0.25">
      <c r="A101" s="14">
        <v>16</v>
      </c>
      <c r="B101" s="37">
        <v>123800</v>
      </c>
      <c r="C101" s="7" t="s">
        <v>148</v>
      </c>
      <c r="D101" s="50" t="s">
        <v>24</v>
      </c>
      <c r="E101" s="7">
        <v>9428007748</v>
      </c>
      <c r="F101" s="14" t="s">
        <v>25</v>
      </c>
      <c r="G101" s="14"/>
      <c r="H101" s="7" t="s">
        <v>140</v>
      </c>
    </row>
    <row r="102" spans="1:8" ht="15.75" x14ac:dyDescent="0.25">
      <c r="A102" s="14">
        <v>17</v>
      </c>
      <c r="B102" s="14">
        <v>124579</v>
      </c>
      <c r="C102" s="7" t="s">
        <v>244</v>
      </c>
      <c r="D102" s="50" t="s">
        <v>245</v>
      </c>
      <c r="E102" s="7">
        <v>9969224250</v>
      </c>
      <c r="F102" s="14" t="s">
        <v>25</v>
      </c>
      <c r="G102" s="14"/>
      <c r="H102" s="7" t="s">
        <v>140</v>
      </c>
    </row>
    <row r="103" spans="1:8" ht="15.75" x14ac:dyDescent="0.25">
      <c r="A103" s="15">
        <v>18</v>
      </c>
      <c r="B103" s="14">
        <v>133541</v>
      </c>
      <c r="C103" s="7" t="s">
        <v>149</v>
      </c>
      <c r="D103" s="50" t="s">
        <v>24</v>
      </c>
      <c r="E103" s="7">
        <v>8723825582</v>
      </c>
      <c r="F103" s="14" t="s">
        <v>25</v>
      </c>
      <c r="G103" s="14"/>
      <c r="H103" s="7" t="s">
        <v>140</v>
      </c>
    </row>
    <row r="104" spans="1:8" ht="15.75" x14ac:dyDescent="0.25">
      <c r="A104" s="15">
        <v>19</v>
      </c>
      <c r="B104" s="37">
        <v>136415</v>
      </c>
      <c r="C104" s="7" t="s">
        <v>150</v>
      </c>
      <c r="D104" s="50" t="s">
        <v>61</v>
      </c>
      <c r="E104" s="7">
        <v>7304449734</v>
      </c>
      <c r="F104" s="14" t="s">
        <v>44</v>
      </c>
      <c r="G104" s="14"/>
      <c r="H104" s="7" t="s">
        <v>140</v>
      </c>
    </row>
    <row r="105" spans="1:8" ht="15.75" x14ac:dyDescent="0.25">
      <c r="A105" s="14">
        <v>20</v>
      </c>
      <c r="B105" s="37">
        <v>135866</v>
      </c>
      <c r="C105" s="7" t="s">
        <v>151</v>
      </c>
      <c r="D105" s="50" t="s">
        <v>61</v>
      </c>
      <c r="E105" s="7">
        <v>9428007018</v>
      </c>
      <c r="F105" s="14" t="s">
        <v>44</v>
      </c>
      <c r="G105" s="14"/>
      <c r="H105" s="7" t="s">
        <v>140</v>
      </c>
    </row>
    <row r="106" spans="1:8" ht="15.75" x14ac:dyDescent="0.25">
      <c r="A106" s="14">
        <v>21</v>
      </c>
      <c r="B106" s="37">
        <v>137578</v>
      </c>
      <c r="C106" s="7" t="s">
        <v>152</v>
      </c>
      <c r="D106" s="50" t="s">
        <v>61</v>
      </c>
      <c r="E106" s="7">
        <v>9410396628</v>
      </c>
      <c r="F106" s="14" t="s">
        <v>44</v>
      </c>
      <c r="G106" s="14"/>
      <c r="H106" s="7" t="s">
        <v>140</v>
      </c>
    </row>
    <row r="107" spans="1:8" ht="15.75" x14ac:dyDescent="0.25">
      <c r="A107" s="14">
        <v>22</v>
      </c>
      <c r="B107" s="37">
        <v>140111</v>
      </c>
      <c r="C107" s="7" t="s">
        <v>153</v>
      </c>
      <c r="D107" s="50" t="s">
        <v>69</v>
      </c>
      <c r="E107" s="7">
        <v>6358896040</v>
      </c>
      <c r="F107" s="14" t="s">
        <v>49</v>
      </c>
      <c r="G107" s="14"/>
      <c r="H107" s="7" t="s">
        <v>140</v>
      </c>
    </row>
    <row r="108" spans="1:8" ht="15.75" x14ac:dyDescent="0.25">
      <c r="A108" s="15">
        <v>23</v>
      </c>
      <c r="B108" s="37">
        <v>139707</v>
      </c>
      <c r="C108" s="7" t="s">
        <v>154</v>
      </c>
      <c r="D108" s="50" t="s">
        <v>69</v>
      </c>
      <c r="E108" s="7">
        <v>6358896158</v>
      </c>
      <c r="F108" s="14" t="s">
        <v>49</v>
      </c>
      <c r="G108" s="14"/>
      <c r="H108" s="7" t="s">
        <v>140</v>
      </c>
    </row>
    <row r="109" spans="1:8" ht="15.75" x14ac:dyDescent="0.25">
      <c r="A109" s="15">
        <v>24</v>
      </c>
      <c r="B109" s="37">
        <v>141326</v>
      </c>
      <c r="C109" s="7" t="s">
        <v>155</v>
      </c>
      <c r="D109" s="50" t="s">
        <v>69</v>
      </c>
      <c r="E109" s="7">
        <v>6358896421</v>
      </c>
      <c r="F109" s="14" t="s">
        <v>49</v>
      </c>
      <c r="G109" s="14"/>
      <c r="H109" s="7" t="s">
        <v>140</v>
      </c>
    </row>
    <row r="110" spans="1:8" ht="15.75" x14ac:dyDescent="0.25">
      <c r="A110" s="14">
        <v>25</v>
      </c>
      <c r="B110" s="37">
        <v>140580</v>
      </c>
      <c r="C110" s="7" t="s">
        <v>156</v>
      </c>
      <c r="D110" s="50" t="s">
        <v>157</v>
      </c>
      <c r="E110" s="7">
        <v>6358897086</v>
      </c>
      <c r="F110" s="14" t="s">
        <v>49</v>
      </c>
      <c r="G110" s="14"/>
      <c r="H110" s="7" t="s">
        <v>135</v>
      </c>
    </row>
    <row r="111" spans="1:8" ht="15.75" x14ac:dyDescent="0.25">
      <c r="A111" s="14">
        <v>26</v>
      </c>
      <c r="B111" s="37">
        <v>141665</v>
      </c>
      <c r="C111" s="7" t="s">
        <v>158</v>
      </c>
      <c r="D111" s="50" t="s">
        <v>157</v>
      </c>
      <c r="E111" s="7">
        <v>6358896435</v>
      </c>
      <c r="F111" s="14" t="s">
        <v>49</v>
      </c>
      <c r="G111" s="14"/>
      <c r="H111" s="7" t="s">
        <v>135</v>
      </c>
    </row>
    <row r="112" spans="1:8" ht="15.75" x14ac:dyDescent="0.25">
      <c r="A112" s="14">
        <v>27</v>
      </c>
      <c r="B112" s="14">
        <v>122220</v>
      </c>
      <c r="C112" s="7" t="s">
        <v>159</v>
      </c>
      <c r="D112" s="50" t="s">
        <v>160</v>
      </c>
      <c r="E112" s="7">
        <v>9428828059</v>
      </c>
      <c r="F112" s="14" t="s">
        <v>53</v>
      </c>
      <c r="G112" s="14"/>
      <c r="H112" s="7" t="s">
        <v>161</v>
      </c>
    </row>
    <row r="113" spans="1:17" ht="15.75" x14ac:dyDescent="0.25">
      <c r="A113" s="15">
        <v>28</v>
      </c>
      <c r="B113" s="14">
        <v>122208</v>
      </c>
      <c r="C113" s="7" t="s">
        <v>246</v>
      </c>
      <c r="D113" s="50" t="s">
        <v>160</v>
      </c>
      <c r="E113" s="7">
        <v>9969224736</v>
      </c>
      <c r="F113" s="14" t="s">
        <v>53</v>
      </c>
      <c r="G113" s="14"/>
      <c r="H113" s="7" t="s">
        <v>161</v>
      </c>
      <c r="Q113" s="7"/>
    </row>
    <row r="114" spans="1:17" ht="15.75" x14ac:dyDescent="0.25">
      <c r="A114" s="15">
        <v>29</v>
      </c>
      <c r="B114" s="14">
        <v>124822</v>
      </c>
      <c r="C114" s="7" t="s">
        <v>247</v>
      </c>
      <c r="D114" s="50" t="s">
        <v>160</v>
      </c>
      <c r="E114" s="7">
        <v>9969229025</v>
      </c>
      <c r="F114" s="14" t="s">
        <v>53</v>
      </c>
      <c r="G114" s="14"/>
      <c r="H114" s="7" t="s">
        <v>161</v>
      </c>
    </row>
    <row r="115" spans="1:17" ht="15.75" x14ac:dyDescent="0.25">
      <c r="A115" s="14">
        <v>30</v>
      </c>
      <c r="B115" s="37">
        <v>120896</v>
      </c>
      <c r="C115" s="7" t="s">
        <v>162</v>
      </c>
      <c r="D115" s="50" t="s">
        <v>248</v>
      </c>
      <c r="E115" s="7">
        <v>9428007010</v>
      </c>
      <c r="F115" s="14" t="s">
        <v>222</v>
      </c>
      <c r="G115" s="14"/>
      <c r="H115" s="7" t="s">
        <v>161</v>
      </c>
    </row>
    <row r="116" spans="1:17" ht="15.75" x14ac:dyDescent="0.25">
      <c r="A116" s="14">
        <v>31</v>
      </c>
      <c r="B116" s="37">
        <v>130892</v>
      </c>
      <c r="C116" s="7" t="s">
        <v>163</v>
      </c>
      <c r="D116" s="50" t="s">
        <v>248</v>
      </c>
      <c r="E116" s="7">
        <v>9428007195</v>
      </c>
      <c r="F116" s="14" t="s">
        <v>222</v>
      </c>
      <c r="G116" s="14"/>
      <c r="H116" s="7" t="s">
        <v>161</v>
      </c>
    </row>
    <row r="117" spans="1:17" ht="15.75" x14ac:dyDescent="0.25">
      <c r="A117" s="14">
        <v>32</v>
      </c>
      <c r="B117" s="37">
        <v>130894</v>
      </c>
      <c r="C117" s="7" t="s">
        <v>164</v>
      </c>
      <c r="D117" s="50" t="s">
        <v>248</v>
      </c>
      <c r="E117" s="7">
        <v>9428007257</v>
      </c>
      <c r="F117" s="14" t="s">
        <v>222</v>
      </c>
      <c r="G117" s="14"/>
      <c r="H117" s="7" t="s">
        <v>161</v>
      </c>
    </row>
    <row r="118" spans="1:17" ht="15.75" x14ac:dyDescent="0.25">
      <c r="A118" s="15">
        <v>33</v>
      </c>
      <c r="B118" s="37">
        <v>130923</v>
      </c>
      <c r="C118" s="7" t="s">
        <v>165</v>
      </c>
      <c r="D118" s="50" t="s">
        <v>248</v>
      </c>
      <c r="E118" s="7">
        <v>9428007023</v>
      </c>
      <c r="F118" s="14" t="s">
        <v>222</v>
      </c>
      <c r="G118" s="14"/>
      <c r="H118" s="7" t="s">
        <v>161</v>
      </c>
    </row>
    <row r="119" spans="1:17" ht="15.75" x14ac:dyDescent="0.25">
      <c r="A119" s="15">
        <v>34</v>
      </c>
      <c r="B119" s="37">
        <v>130944</v>
      </c>
      <c r="C119" s="7" t="s">
        <v>166</v>
      </c>
      <c r="D119" s="50" t="s">
        <v>248</v>
      </c>
      <c r="E119" s="7">
        <v>9428007809</v>
      </c>
      <c r="F119" s="14" t="s">
        <v>222</v>
      </c>
      <c r="G119" s="14"/>
      <c r="H119" s="7" t="s">
        <v>161</v>
      </c>
    </row>
    <row r="120" spans="1:17" ht="15.75" x14ac:dyDescent="0.25">
      <c r="A120" s="14">
        <v>35</v>
      </c>
      <c r="B120" s="37">
        <v>130915</v>
      </c>
      <c r="C120" s="7" t="s">
        <v>167</v>
      </c>
      <c r="D120" s="50" t="s">
        <v>248</v>
      </c>
      <c r="E120" s="7">
        <v>9428007115</v>
      </c>
      <c r="F120" s="14" t="s">
        <v>222</v>
      </c>
      <c r="G120" s="14"/>
      <c r="H120" s="7" t="s">
        <v>161</v>
      </c>
    </row>
    <row r="121" spans="1:17" ht="15.75" x14ac:dyDescent="0.25">
      <c r="A121" s="14">
        <v>36</v>
      </c>
      <c r="B121" s="37">
        <v>130014</v>
      </c>
      <c r="C121" s="7" t="s">
        <v>168</v>
      </c>
      <c r="D121" s="50" t="s">
        <v>169</v>
      </c>
      <c r="E121" s="7">
        <v>9428828398</v>
      </c>
      <c r="F121" s="14" t="s">
        <v>121</v>
      </c>
      <c r="G121" s="14"/>
      <c r="H121" s="7" t="s">
        <v>161</v>
      </c>
    </row>
    <row r="122" spans="1:17" ht="15.75" x14ac:dyDescent="0.25">
      <c r="A122" s="49" t="s">
        <v>187</v>
      </c>
      <c r="B122" s="14"/>
      <c r="C122" s="7"/>
      <c r="D122" s="50"/>
      <c r="E122" s="7"/>
      <c r="F122" s="14"/>
      <c r="G122" s="14"/>
      <c r="H122" s="7"/>
    </row>
    <row r="123" spans="1:17" ht="15.75" x14ac:dyDescent="0.25">
      <c r="A123" s="14">
        <v>1</v>
      </c>
      <c r="B123" s="37">
        <v>82445</v>
      </c>
      <c r="C123" s="7" t="s">
        <v>171</v>
      </c>
      <c r="D123" s="50" t="s">
        <v>131</v>
      </c>
      <c r="E123" s="7">
        <v>9410390033</v>
      </c>
      <c r="F123" s="14" t="s">
        <v>129</v>
      </c>
      <c r="G123" s="14" t="s">
        <v>21</v>
      </c>
      <c r="H123" s="7" t="s">
        <v>186</v>
      </c>
    </row>
    <row r="124" spans="1:17" ht="15.75" x14ac:dyDescent="0.25">
      <c r="A124" s="15">
        <v>2</v>
      </c>
      <c r="B124" s="37">
        <v>70485</v>
      </c>
      <c r="C124" s="7" t="s">
        <v>172</v>
      </c>
      <c r="D124" s="50" t="s">
        <v>173</v>
      </c>
      <c r="E124" s="7">
        <v>9428333332</v>
      </c>
      <c r="F124" s="14" t="s">
        <v>13</v>
      </c>
      <c r="G124" s="14" t="s">
        <v>21</v>
      </c>
      <c r="H124" s="7" t="s">
        <v>186</v>
      </c>
    </row>
    <row r="125" spans="1:17" ht="15.75" x14ac:dyDescent="0.25">
      <c r="A125" s="15">
        <v>3</v>
      </c>
      <c r="B125" s="37">
        <v>83261</v>
      </c>
      <c r="C125" s="7" t="s">
        <v>174</v>
      </c>
      <c r="D125" s="50" t="s">
        <v>175</v>
      </c>
      <c r="E125" s="14">
        <v>9969224577</v>
      </c>
      <c r="F125" s="14" t="s">
        <v>17</v>
      </c>
      <c r="G125" s="14"/>
      <c r="H125" s="7" t="s">
        <v>186</v>
      </c>
    </row>
    <row r="126" spans="1:17" ht="15.75" x14ac:dyDescent="0.25">
      <c r="A126" s="14">
        <v>4</v>
      </c>
      <c r="B126" s="37">
        <v>125043</v>
      </c>
      <c r="C126" s="7" t="s">
        <v>227</v>
      </c>
      <c r="D126" s="50" t="s">
        <v>228</v>
      </c>
      <c r="E126" s="7">
        <v>9969224577</v>
      </c>
      <c r="F126" s="14" t="s">
        <v>17</v>
      </c>
      <c r="G126" s="14"/>
      <c r="H126" s="7" t="s">
        <v>186</v>
      </c>
    </row>
    <row r="127" spans="1:17" ht="15.75" x14ac:dyDescent="0.25">
      <c r="A127" s="15">
        <v>5</v>
      </c>
      <c r="B127" s="37">
        <v>137128</v>
      </c>
      <c r="C127" s="7" t="s">
        <v>178</v>
      </c>
      <c r="D127" s="50" t="s">
        <v>179</v>
      </c>
      <c r="E127" s="7">
        <v>7574827832</v>
      </c>
      <c r="F127" s="14" t="s">
        <v>44</v>
      </c>
      <c r="G127" s="14"/>
      <c r="H127" s="7" t="s">
        <v>186</v>
      </c>
    </row>
    <row r="128" spans="1:17" ht="15.75" x14ac:dyDescent="0.25">
      <c r="A128" s="15">
        <v>6</v>
      </c>
      <c r="B128" s="37">
        <v>73760</v>
      </c>
      <c r="C128" s="7" t="s">
        <v>176</v>
      </c>
      <c r="D128" s="50" t="s">
        <v>177</v>
      </c>
      <c r="E128" s="7">
        <v>9445005760</v>
      </c>
      <c r="F128" s="14" t="s">
        <v>49</v>
      </c>
      <c r="H128" s="7" t="s">
        <v>186</v>
      </c>
    </row>
    <row r="129" spans="1:9" ht="15.75" x14ac:dyDescent="0.25">
      <c r="A129" s="14">
        <v>7</v>
      </c>
      <c r="B129" s="37">
        <v>121144</v>
      </c>
      <c r="C129" s="7" t="s">
        <v>208</v>
      </c>
      <c r="D129" s="50" t="s">
        <v>177</v>
      </c>
      <c r="E129" s="7">
        <v>9445005557</v>
      </c>
      <c r="F129" s="14" t="s">
        <v>49</v>
      </c>
      <c r="H129" s="7" t="s">
        <v>186</v>
      </c>
    </row>
    <row r="130" spans="1:9" ht="15.75" x14ac:dyDescent="0.25">
      <c r="A130" s="15">
        <v>8</v>
      </c>
      <c r="B130" s="37">
        <v>120799</v>
      </c>
      <c r="C130" s="7" t="s">
        <v>180</v>
      </c>
      <c r="D130" s="50" t="s">
        <v>181</v>
      </c>
      <c r="E130" s="7">
        <v>9428828409</v>
      </c>
      <c r="F130" s="14" t="s">
        <v>53</v>
      </c>
      <c r="G130" s="14"/>
      <c r="H130" s="7" t="s">
        <v>186</v>
      </c>
    </row>
    <row r="131" spans="1:9" ht="15.75" x14ac:dyDescent="0.25">
      <c r="A131" s="15">
        <v>9</v>
      </c>
      <c r="B131" s="37">
        <v>130863</v>
      </c>
      <c r="C131" s="7" t="s">
        <v>182</v>
      </c>
      <c r="D131" s="50" t="s">
        <v>248</v>
      </c>
      <c r="E131" s="7">
        <v>9428007563</v>
      </c>
      <c r="F131" s="14" t="s">
        <v>222</v>
      </c>
      <c r="G131" s="14"/>
      <c r="H131" s="7" t="s">
        <v>186</v>
      </c>
    </row>
    <row r="132" spans="1:9" ht="15.75" x14ac:dyDescent="0.25">
      <c r="A132" s="14">
        <v>10</v>
      </c>
      <c r="B132" s="37">
        <v>131177</v>
      </c>
      <c r="C132" s="7" t="s">
        <v>183</v>
      </c>
      <c r="D132" s="50" t="s">
        <v>253</v>
      </c>
      <c r="E132" s="7">
        <v>9409699855</v>
      </c>
      <c r="F132" s="14" t="s">
        <v>121</v>
      </c>
      <c r="G132" s="14"/>
      <c r="H132" s="7" t="s">
        <v>186</v>
      </c>
    </row>
    <row r="133" spans="1:9" ht="15.75" x14ac:dyDescent="0.25">
      <c r="A133" s="15">
        <v>11</v>
      </c>
      <c r="B133" s="37">
        <v>132575</v>
      </c>
      <c r="C133" s="7" t="s">
        <v>184</v>
      </c>
      <c r="D133" s="50" t="s">
        <v>253</v>
      </c>
      <c r="E133" s="7">
        <v>9428007327</v>
      </c>
      <c r="F133" s="14" t="s">
        <v>121</v>
      </c>
      <c r="G133" s="14"/>
      <c r="H133" s="7" t="s">
        <v>186</v>
      </c>
    </row>
    <row r="134" spans="1:9" ht="15.75" x14ac:dyDescent="0.25">
      <c r="A134" s="15">
        <v>12</v>
      </c>
      <c r="B134" s="37">
        <v>120686</v>
      </c>
      <c r="C134" s="7" t="s">
        <v>185</v>
      </c>
      <c r="D134" s="50" t="s">
        <v>254</v>
      </c>
      <c r="E134" s="7">
        <v>9428007686</v>
      </c>
      <c r="F134" s="14" t="s">
        <v>55</v>
      </c>
      <c r="G134" s="14"/>
      <c r="H134" s="7" t="s">
        <v>186</v>
      </c>
    </row>
    <row r="136" spans="1:9" ht="15.75" x14ac:dyDescent="0.25">
      <c r="H136" s="11"/>
    </row>
    <row r="137" spans="1:9" ht="15.75" x14ac:dyDescent="0.25">
      <c r="H137" s="11"/>
    </row>
    <row r="141" spans="1:9" ht="15.75" x14ac:dyDescent="0.25">
      <c r="I141" s="11"/>
    </row>
    <row r="142" spans="1:9" ht="15.75" x14ac:dyDescent="0.25">
      <c r="I142" s="11"/>
    </row>
  </sheetData>
  <mergeCells count="5">
    <mergeCell ref="T3:U3"/>
    <mergeCell ref="A1:H1"/>
    <mergeCell ref="K3:L3"/>
    <mergeCell ref="N3:O3"/>
    <mergeCell ref="Q3:R3"/>
  </mergeCells>
  <phoneticPr fontId="7" type="noConversion"/>
  <conditionalFormatting sqref="B96:B101 B104:B111 B115:B1048576 B2:B5 B21:B91 B7:B19">
    <cfRule type="duplicateValues" dxfId="3" priority="14"/>
    <cfRule type="duplicateValues" dxfId="2" priority="15"/>
  </conditionalFormatting>
  <conditionalFormatting sqref="D2:D4 D21:D1048576 D7:D19">
    <cfRule type="containsText" dxfId="1" priority="2" operator="containsText" text="eLECTRONIC">
      <formula>NOT(ISERROR(SEARCH("eLECTRONIC",D2)))</formula>
    </cfRule>
  </conditionalFormatting>
  <conditionalFormatting sqref="D2:D4 D7:D1048576">
    <cfRule type="containsText" dxfId="0" priority="1" operator="containsText" text="Electronics">
      <formula>NOT(ISERROR(SEARCH("Electronics",D2)))</formula>
    </cfRule>
  </conditionalFormatting>
  <hyperlinks>
    <hyperlink ref="E94" r:id="rId1" display="tel:9968282782" xr:uid="{00000000-0004-0000-0100-000000000000}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Status GPS-2026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 RAM-133507</dc:creator>
  <cp:lastModifiedBy>MAHAVIR SINGH-105405</cp:lastModifiedBy>
  <dcterms:created xsi:type="dcterms:W3CDTF">2015-06-05T18:17:20Z</dcterms:created>
  <dcterms:modified xsi:type="dcterms:W3CDTF">2026-06-22T12:43:04Z</dcterms:modified>
</cp:coreProperties>
</file>